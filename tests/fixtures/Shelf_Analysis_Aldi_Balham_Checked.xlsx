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Aldi Local_Balham/"/>
    </mc:Choice>
  </mc:AlternateContent>
  <xr:revisionPtr revIDLastSave="155" documentId="8_{F10E83AA-EAD1-4DC3-8BE7-847F4289D075}" xr6:coauthVersionLast="47" xr6:coauthVersionMax="47" xr10:uidLastSave="{59A1F3B3-6BE0-45FD-A4A3-D4F5A82E3EDA}"/>
  <bookViews>
    <workbookView xWindow="-110" yWindow="-110" windowWidth="19420" windowHeight="11500" tabRatio="500" xr2:uid="{00000000-000D-0000-FFFF-FFFF00000000}"/>
  </bookViews>
  <sheets>
    <sheet name="SKU Data" sheetId="1" r:id="rId1"/>
  </sheets>
  <definedNames>
    <definedName name="_xlnm._FilterDatabase" localSheetId="0" hidden="1">'SKU Data'!$A$1:$W$26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2" i="1" l="1"/>
  <c r="O40" i="1"/>
  <c r="O41" i="1"/>
  <c r="O39" i="1"/>
  <c r="O38" i="1"/>
  <c r="O37" i="1"/>
  <c r="O36" i="1"/>
  <c r="O35" i="1"/>
  <c r="O34" i="1"/>
  <c r="O33" i="1"/>
  <c r="O31" i="1"/>
  <c r="O27" i="1"/>
  <c r="O28" i="1"/>
  <c r="O26" i="1"/>
  <c r="O25" i="1"/>
  <c r="O24" i="1"/>
  <c r="O23" i="1"/>
  <c r="O20" i="1"/>
  <c r="O19" i="1"/>
  <c r="O18" i="1"/>
  <c r="O17" i="1"/>
  <c r="O16" i="1"/>
  <c r="O15" i="1"/>
  <c r="O14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<sst xmlns="http://schemas.openxmlformats.org/spreadsheetml/2006/main" count="501" uniqueCount="141">
  <si>
    <t>Photo File Name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</si>
  <si>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</si>
  <si>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</si>
  <si>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</si>
  <si>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</si>
  <si>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</si>
  <si>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</si>
  <si>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</si>
  <si>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</si>
  <si>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</si>
  <si>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</si>
  <si>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</si>
  <si>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Packaging Size (ml)</t>
  </si>
  <si>
    <t>Price per Liter (EUR)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</si>
  <si>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</si>
  <si>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</si>
  <si>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</si>
  <si>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</si>
  <si>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</si>
  <si>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</si>
  <si>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</si>
  <si>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</si>
  <si>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Chilled_Section_Top_shelf.jpg</t>
  </si>
  <si>
    <t>Chilled Section</t>
  </si>
  <si>
    <t>1st</t>
  </si>
  <si>
    <t>Smoothies</t>
  </si>
  <si>
    <t>Indulgence</t>
  </si>
  <si>
    <t>The Juice Company</t>
  </si>
  <si>
    <t>Private Label</t>
  </si>
  <si>
    <t>Strawberry &amp; Banana</t>
  </si>
  <si>
    <t>PET bottle</t>
  </si>
  <si>
    <t>No</t>
  </si>
  <si>
    <t>100% fruit</t>
  </si>
  <si>
    <t>In Stock</t>
  </si>
  <si>
    <t>Clearly visible label. Also visible in Overview photo.</t>
  </si>
  <si>
    <t>Pure Juices</t>
  </si>
  <si>
    <t>Orange</t>
  </si>
  <si>
    <t>Freshly squeezed, Not from concentrate</t>
  </si>
  <si>
    <t>Premium variant with dark label. Price tag shows was-price 2.75.</t>
  </si>
  <si>
    <t>Functional</t>
  </si>
  <si>
    <t>Unknown</t>
  </si>
  <si>
    <t>Super Smoothie, Vitamins</t>
  </si>
  <si>
    <t>Green colored smoothie. Label partially readable.</t>
  </si>
  <si>
    <t>Pink/red colored smoothie. Maximise variant.</t>
  </si>
  <si>
    <t>Enliven</t>
  </si>
  <si>
    <t>Super Smoothie, Energy</t>
  </si>
  <si>
    <t>Green/lime colored. Label says Enliven. Claims partially visible.</t>
  </si>
  <si>
    <t>Other</t>
  </si>
  <si>
    <t>Coconut Water</t>
  </si>
  <si>
    <t>Tetra Pak</t>
  </si>
  <si>
    <t>Never from concentrate</t>
  </si>
  <si>
    <t>Blue Tetra Pak. Price tag shows was-price 2.25. Also visible in Overview.</t>
  </si>
  <si>
    <t>2nd</t>
  </si>
  <si>
    <t>Orange Juice Smooth</t>
  </si>
  <si>
    <t>100% pure pressed, Not from concentrate, Smooth</t>
  </si>
  <si>
    <t>Blue label variant. Multiple facings across shelf. Also visible in Overview.</t>
  </si>
  <si>
    <t>Orange Juice with Bits</t>
  </si>
  <si>
    <t>100% pure pressed, Not from concentrate, With bits</t>
  </si>
  <si>
    <t>Green accent label. Clearly readable. Also visible in Overview.</t>
  </si>
  <si>
    <t>100% pure pressed, Not from concentrate</t>
  </si>
  <si>
    <t>Apple Juice</t>
  </si>
  <si>
    <t>Green apple label on right side of shelf 2. Also visible in Overview.</t>
  </si>
  <si>
    <t>Chilled_Section_Middle_shelf.jpg</t>
  </si>
  <si>
    <t>3rd</t>
  </si>
  <si>
    <t>Apple &amp; Mango</t>
  </si>
  <si>
    <t>Not from concentrate</t>
  </si>
  <si>
    <t>White/cream carton with apple &amp; mango imagery. Clearly visible.</t>
  </si>
  <si>
    <t>Multivitamin Boost</t>
  </si>
  <si>
    <t>12 fruits, Vitamin C, Vitamin E, B Vitamins, 100% daily Vitamin C</t>
  </si>
  <si>
    <t>Red carton. Claims clearly visible: 12 fruits with vitamins. Most prominent SKU on shelf 3.</t>
  </si>
  <si>
    <t>Immune Support</t>
  </si>
  <si>
    <t>Apple &amp; Elderflower</t>
  </si>
  <si>
    <t>Immune Support, Vitamin C</t>
  </si>
  <si>
    <t>Green/white carton. Immune Support sub-brand clearly visible.</t>
  </si>
  <si>
    <t>Gut Health Support</t>
  </si>
  <si>
    <t>Dragon Fruit &amp; Raspberry</t>
  </si>
  <si>
    <t>Gut Health Support, Fiber, Probiotics</t>
  </si>
  <si>
    <t>Pink/white carton at far right of shelf 3. Gut Health claims visible.</t>
  </si>
  <si>
    <t>4th</t>
  </si>
  <si>
    <t>From concentrate, Smooth</t>
  </si>
  <si>
    <t>Standard OJ Tetra Pak. Label says From Concentrate. Also visible in Bottom_shelf2.</t>
  </si>
  <si>
    <t>From concentrate</t>
  </si>
  <si>
    <t>Green apple carton. Price 1.79 clearly visible. Also visible in Bottom_shelf2.</t>
  </si>
  <si>
    <t>Cranberry Juice Drink</t>
  </si>
  <si>
    <t>No added sugar</t>
  </si>
  <si>
    <t>Red carton far right shelf 4. Price tag shows 1.35 LET promo. Regular price unclear.</t>
  </si>
  <si>
    <t>Chilled_Section_Bottom_shelf.jpg</t>
  </si>
  <si>
    <t>5th</t>
  </si>
  <si>
    <t>100% Fruit Smoothies</t>
  </si>
  <si>
    <t>Carton (Multi-pack)</t>
  </si>
  <si>
    <t>Red/pink multi-pack boxes. Exact ml per unit unclear. Price 1.75 on tag.</t>
  </si>
  <si>
    <t>Tropical Fruit</t>
  </si>
  <si>
    <t>100% juice</t>
  </si>
  <si>
    <t>Large PET jug. Tan/amber juice. Price per liter calc suggests 2L volume.</t>
  </si>
  <si>
    <t>Summer Fruits</t>
  </si>
  <si>
    <t>Large PET jug. Pink/purple juice. Same price and format as Tropical Fruit.</t>
  </si>
  <si>
    <t>Branded</t>
  </si>
  <si>
    <t>Kombucha, Fermented</t>
  </si>
  <si>
    <t>1.49 LET (promotional price)</t>
  </si>
  <si>
    <t>Dark glass bottles. Brand name partially visible. At least 2 flavors (green/pink labels). Exact brand uncertain.</t>
  </si>
  <si>
    <t>Orange with juicy bits</t>
  </si>
  <si>
    <t>Revitalise</t>
  </si>
  <si>
    <t>added thiamin, riboflavin, niacin, vitamin B6 and vitamin E</t>
  </si>
  <si>
    <t>Maximise</t>
  </si>
  <si>
    <t>Price (Pounds)</t>
  </si>
  <si>
    <t>Passionfruit Kombucha</t>
  </si>
  <si>
    <t>Ginger &amp; Lemon Kombucha</t>
  </si>
  <si>
    <t>Wild Berry Kombucha</t>
  </si>
  <si>
    <t>Multi-pack - multiple flavours</t>
  </si>
  <si>
    <t>To_go_section.jpg</t>
  </si>
  <si>
    <t>To-Go Section</t>
  </si>
  <si>
    <t>Vitamin Drink</t>
  </si>
  <si>
    <t>Vitamin Drink, Vitamins</t>
  </si>
  <si>
    <t>2 for deal (partially visible)</t>
  </si>
  <si>
    <t>White bottle with colorful design. Price tag partially cut off, reads 0.90. 500ml visible on label. '2 for' promo sticker visible on shelf edge.</t>
  </si>
  <si>
    <t>Super Juice</t>
  </si>
  <si>
    <t>The Guardian</t>
  </si>
  <si>
    <t>Super Juice, 6 of 5-a-day</t>
  </si>
  <si>
    <t>Orange/red bottle in green 'SUPER JUICES' display tray. Price tag: 0.99, 300ml. 33.0p per 100ml.</t>
  </si>
  <si>
    <t>Green Goodness</t>
  </si>
  <si>
    <t>Green bottle in SUPER JUICES tray. Flavor from price tag which lists 'Green Goodness / Get Go, Getter / The Guardian'.</t>
  </si>
  <si>
    <t>Get Go Getter</t>
  </si>
  <si>
    <t>Dark/brown bottle in SUPER JUICES tray. Flavor inferred from price tag listing. Less clearly visible.</t>
  </si>
  <si>
    <t>Juice to Go</t>
  </si>
  <si>
    <t>In cardboard 12-pack display tray. Price tag: 1.09, 330ml, 33p per 100ml. Orange bottles clearly visible.</t>
  </si>
  <si>
    <t>Apple</t>
  </si>
  <si>
    <t>In same cardboard tray as Orange. Light-colored bottles. Flavor from price tag listing 'Orange / Apple / Multivitamin'.</t>
  </si>
  <si>
    <t>Multivitamin</t>
  </si>
  <si>
    <t>In same cardboard tray. Flavor from price tag. Classified Functional due to multivitamin positioning.</t>
  </si>
  <si>
    <t>Shots</t>
  </si>
  <si>
    <t>Immunity Health Juice Shots</t>
  </si>
  <si>
    <t>Yellow display box marked 'IMMUNITY HEALTH JUICE SHOTS'. 'I'm New' stickers. Price tag: 1.09. Brand reads 'health+'. Price tag says 'Gut &amp; Immunity Health Shots'. Multiple flavors mixed in one display. £1.09 per 100ml on tag suggests ~60ml bottles.</t>
  </si>
  <si>
    <t>Health</t>
  </si>
  <si>
    <t>Turmeric</t>
  </si>
  <si>
    <t>Ginger</t>
  </si>
  <si>
    <t>Mango</t>
  </si>
  <si>
    <t>Pasteurised</t>
  </si>
  <si>
    <t>Immunity</t>
  </si>
  <si>
    <t>Not pasteurised</t>
  </si>
  <si>
    <t>Orange, Mango &amp; Passionfruit</t>
  </si>
  <si>
    <t>Apple &amp; Eldeflower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</si>
</sst>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sz val="9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charset val="1"/>
    </font>
    <font>
      <b/>
      <sz val="9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2F7FB"/>
        <bgColor rgb="FFFFFFFF"/>
      </patternFill>
    </fill>
    <fill>
      <patternFill patternType="solid">
        <fgColor rgb="FFFFEB9C"/>
        <bgColor rgb="FFFFCC99"/>
      </patternFill>
    </fill>
  </fills>
  <borders count="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3" borderId="0" xfId="0" applyFill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9" fontId="3" fillId="6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3" borderId="0" xfId="0" applyFont="1" applyFill="1"/>
    <xf numFmtId="4" fontId="4" fillId="0" borderId="2" xfId="0" applyNumberFormat="1" applyFont="1" applyBorder="1" applyAlignment="1">
      <alignment horizontal="center" vertical="center" wrapText="1"/>
    </xf>
    <xf numFmtId="9" fontId="4" fillId="6" borderId="2" xfId="0" applyNumberFormat="1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horizontal="center"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9" fontId="4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abSelected="1" topLeftCell="B1" zoomScale="115" zoomScaleNormal="115" workbookViewId="0">
      <pane ySplit="1" topLeftCell="A36" activePane="bottomLeft" state="frozen"/>
      <selection pane="bottomLeft" activeCell="Q31" sqref="Q31"/>
    </sheetView>
  </sheetViews>
  <sheetFormatPr defaultColWidth="8.6328125" defaultRowHeight="14.5" x14ac:dyDescent="0.35"/>
  <cols>
    <col min="1" max="1" width="32" customWidth="1"/>
    <col min="2" max="2" width="18" customWidth="1"/>
    <col min="3" max="3" width="14" customWidth="1"/>
    <col min="4" max="5" width="10" customWidth="1"/>
    <col min="6" max="7" width="14" customWidth="1"/>
    <col min="8" max="8" width="22" customWidth="1"/>
    <col min="9" max="10" width="16" customWidth="1"/>
    <col min="11" max="11" width="28" customWidth="1"/>
    <col min="12" max="12" width="8" customWidth="1"/>
    <col min="13" max="13" width="10" customWidth="1"/>
    <col min="14" max="16" width="14" customWidth="1"/>
    <col min="17" max="17" width="16" customWidth="1"/>
    <col min="18" max="18" width="12" customWidth="1"/>
    <col min="19" max="19" width="40" customWidth="1"/>
    <col min="20" max="20" width="18" customWidth="1"/>
    <col min="21" max="21" width="12" customWidth="1"/>
    <col min="22" max="22" width="14" customWidth="1"/>
    <col min="23" max="23" width="45" customWidth="1"/>
  </cols>
  <sheetData>
    <row r="1" spans="1:23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" t="s">
        <v>104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2" t="s">
        <v>22</v>
      </c>
      <c r="B2" s="2" t="s">
        <v>23</v>
      </c>
      <c r="C2" s="2">
        <v>3</v>
      </c>
      <c r="D2" s="2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5">
      <c r="A3" s="4" t="s">
        <v>22</v>
      </c>
      <c r="B3" s="4" t="s">
        <v>23</v>
      </c>
      <c r="C3" s="5">
        <v>3</v>
      </c>
      <c r="D3" s="5">
        <v>5</v>
      </c>
      <c r="E3" s="5" t="s">
        <v>24</v>
      </c>
      <c r="F3" s="5" t="s">
        <v>25</v>
      </c>
      <c r="G3" s="5" t="s">
        <v>26</v>
      </c>
      <c r="H3" s="4" t="s">
        <v>27</v>
      </c>
      <c r="I3" s="4"/>
      <c r="J3" s="5" t="s">
        <v>28</v>
      </c>
      <c r="K3" s="4" t="s">
        <v>29</v>
      </c>
      <c r="L3" s="5">
        <v>3</v>
      </c>
      <c r="M3" s="13">
        <v>1.59</v>
      </c>
      <c r="N3" s="5">
        <v>750</v>
      </c>
      <c r="O3" s="13">
        <f t="shared" ref="O3:O11" si="0">IF(OR(M3="",N3=""),"",M3/(N3/1000))</f>
        <v>2.12</v>
      </c>
      <c r="P3" s="5" t="s">
        <v>30</v>
      </c>
      <c r="Q3" s="5" t="s">
        <v>136</v>
      </c>
      <c r="R3" s="5" t="s">
        <v>31</v>
      </c>
      <c r="S3" s="4" t="s">
        <v>32</v>
      </c>
      <c r="T3" s="4"/>
      <c r="U3" s="5" t="s">
        <v>33</v>
      </c>
      <c r="V3" s="6">
        <v>0.9</v>
      </c>
      <c r="W3" s="4" t="s">
        <v>34</v>
      </c>
    </row>
    <row r="4" spans="1:23" ht="23" x14ac:dyDescent="0.35">
      <c r="A4" s="7" t="s">
        <v>22</v>
      </c>
      <c r="B4" s="7" t="s">
        <v>23</v>
      </c>
      <c r="C4" s="8">
        <v>3</v>
      </c>
      <c r="D4" s="8">
        <v>5</v>
      </c>
      <c r="E4" s="8" t="s">
        <v>24</v>
      </c>
      <c r="F4" s="8" t="s">
        <v>35</v>
      </c>
      <c r="G4" s="8" t="s">
        <v>26</v>
      </c>
      <c r="H4" s="7" t="s">
        <v>27</v>
      </c>
      <c r="I4" s="7"/>
      <c r="J4" s="8" t="s">
        <v>28</v>
      </c>
      <c r="K4" s="7" t="s">
        <v>100</v>
      </c>
      <c r="L4" s="8">
        <v>2</v>
      </c>
      <c r="M4" s="14">
        <v>2.75</v>
      </c>
      <c r="N4" s="8">
        <v>1000</v>
      </c>
      <c r="O4" s="14">
        <f t="shared" si="0"/>
        <v>2.75</v>
      </c>
      <c r="P4" s="8" t="s">
        <v>30</v>
      </c>
      <c r="Q4" s="8" t="s">
        <v>136</v>
      </c>
      <c r="R4" s="8" t="s">
        <v>31</v>
      </c>
      <c r="S4" s="7" t="s">
        <v>37</v>
      </c>
      <c r="T4" s="7">
        <v>2.4900000000000002</v>
      </c>
      <c r="U4" s="8" t="s">
        <v>33</v>
      </c>
      <c r="V4" s="6">
        <v>0.8</v>
      </c>
      <c r="W4" s="7" t="s">
        <v>38</v>
      </c>
    </row>
    <row r="5" spans="1:23" ht="23" x14ac:dyDescent="0.35">
      <c r="A5" s="4" t="s">
        <v>22</v>
      </c>
      <c r="B5" s="4" t="s">
        <v>23</v>
      </c>
      <c r="C5" s="5">
        <v>3</v>
      </c>
      <c r="D5" s="5">
        <v>5</v>
      </c>
      <c r="E5" s="5" t="s">
        <v>24</v>
      </c>
      <c r="F5" s="5" t="s">
        <v>25</v>
      </c>
      <c r="G5" s="5" t="s">
        <v>39</v>
      </c>
      <c r="H5" s="4" t="s">
        <v>27</v>
      </c>
      <c r="I5" s="4"/>
      <c r="J5" s="5" t="s">
        <v>28</v>
      </c>
      <c r="K5" s="4" t="s">
        <v>101</v>
      </c>
      <c r="L5" s="5">
        <v>1</v>
      </c>
      <c r="M5" s="13">
        <v>1.79</v>
      </c>
      <c r="N5" s="5">
        <v>750</v>
      </c>
      <c r="O5" s="13">
        <f t="shared" si="0"/>
        <v>2.3866666666666667</v>
      </c>
      <c r="P5" s="5" t="s">
        <v>30</v>
      </c>
      <c r="Q5" s="8" t="s">
        <v>136</v>
      </c>
      <c r="R5" s="5" t="s">
        <v>40</v>
      </c>
      <c r="S5" s="4" t="s">
        <v>102</v>
      </c>
      <c r="T5" s="4"/>
      <c r="U5" s="5" t="s">
        <v>33</v>
      </c>
      <c r="V5" s="6">
        <v>0.8</v>
      </c>
      <c r="W5" s="4" t="s">
        <v>42</v>
      </c>
    </row>
    <row r="6" spans="1:23" x14ac:dyDescent="0.35">
      <c r="A6" s="7" t="s">
        <v>22</v>
      </c>
      <c r="B6" s="7" t="s">
        <v>23</v>
      </c>
      <c r="C6" s="8">
        <v>3</v>
      </c>
      <c r="D6" s="8">
        <v>5</v>
      </c>
      <c r="E6" s="8" t="s">
        <v>24</v>
      </c>
      <c r="F6" s="8" t="s">
        <v>25</v>
      </c>
      <c r="G6" s="8" t="s">
        <v>39</v>
      </c>
      <c r="H6" s="7" t="s">
        <v>27</v>
      </c>
      <c r="I6" s="7"/>
      <c r="J6" s="8" t="s">
        <v>28</v>
      </c>
      <c r="K6" s="10" t="s">
        <v>44</v>
      </c>
      <c r="L6" s="8">
        <v>2</v>
      </c>
      <c r="M6" s="14">
        <v>1.79</v>
      </c>
      <c r="N6" s="8">
        <v>750</v>
      </c>
      <c r="O6" s="14">
        <f t="shared" si="0"/>
        <v>2.3866666666666667</v>
      </c>
      <c r="P6" s="8" t="s">
        <v>30</v>
      </c>
      <c r="Q6" s="8" t="s">
        <v>136</v>
      </c>
      <c r="R6" s="8" t="s">
        <v>40</v>
      </c>
      <c r="S6" s="7" t="s">
        <v>41</v>
      </c>
      <c r="T6" s="7"/>
      <c r="U6" s="8" t="s">
        <v>33</v>
      </c>
      <c r="V6" s="6">
        <v>0.8</v>
      </c>
      <c r="W6" s="7" t="s">
        <v>43</v>
      </c>
    </row>
    <row r="7" spans="1:23" ht="23" x14ac:dyDescent="0.35">
      <c r="A7" s="4" t="s">
        <v>22</v>
      </c>
      <c r="B7" s="4" t="s">
        <v>23</v>
      </c>
      <c r="C7" s="5">
        <v>3</v>
      </c>
      <c r="D7" s="5">
        <v>5</v>
      </c>
      <c r="E7" s="5" t="s">
        <v>24</v>
      </c>
      <c r="F7" s="5" t="s">
        <v>25</v>
      </c>
      <c r="G7" s="5" t="s">
        <v>39</v>
      </c>
      <c r="H7" s="4" t="s">
        <v>27</v>
      </c>
      <c r="I7" s="4"/>
      <c r="J7" s="5" t="s">
        <v>28</v>
      </c>
      <c r="K7" s="11" t="s">
        <v>103</v>
      </c>
      <c r="L7" s="5">
        <v>2</v>
      </c>
      <c r="M7" s="13">
        <v>1.79</v>
      </c>
      <c r="N7" s="5">
        <v>750</v>
      </c>
      <c r="O7" s="13">
        <f t="shared" si="0"/>
        <v>2.3866666666666667</v>
      </c>
      <c r="P7" s="5" t="s">
        <v>30</v>
      </c>
      <c r="Q7" s="8" t="s">
        <v>136</v>
      </c>
      <c r="R7" s="5" t="s">
        <v>40</v>
      </c>
      <c r="S7" s="4" t="s">
        <v>45</v>
      </c>
      <c r="T7" s="4"/>
      <c r="U7" s="5" t="s">
        <v>33</v>
      </c>
      <c r="V7" s="6">
        <v>0.75</v>
      </c>
      <c r="W7" s="4" t="s">
        <v>46</v>
      </c>
    </row>
    <row r="8" spans="1:23" ht="23" x14ac:dyDescent="0.35">
      <c r="A8" s="7" t="s">
        <v>22</v>
      </c>
      <c r="B8" s="7" t="s">
        <v>23</v>
      </c>
      <c r="C8" s="8">
        <v>3</v>
      </c>
      <c r="D8" s="8">
        <v>5</v>
      </c>
      <c r="E8" s="8" t="s">
        <v>24</v>
      </c>
      <c r="F8" s="8" t="s">
        <v>47</v>
      </c>
      <c r="G8" s="8" t="s">
        <v>26</v>
      </c>
      <c r="H8" s="7" t="s">
        <v>27</v>
      </c>
      <c r="I8" s="7"/>
      <c r="J8" s="8" t="s">
        <v>28</v>
      </c>
      <c r="K8" s="7" t="s">
        <v>48</v>
      </c>
      <c r="L8" s="8">
        <v>5</v>
      </c>
      <c r="M8" s="14">
        <v>2.25</v>
      </c>
      <c r="N8" s="8">
        <v>1000</v>
      </c>
      <c r="O8" s="14">
        <f t="shared" si="0"/>
        <v>2.25</v>
      </c>
      <c r="P8" s="8" t="s">
        <v>49</v>
      </c>
      <c r="Q8" s="8" t="s">
        <v>40</v>
      </c>
      <c r="R8" s="8" t="s">
        <v>31</v>
      </c>
      <c r="S8" s="7" t="s">
        <v>50</v>
      </c>
      <c r="T8" s="7">
        <v>1.99</v>
      </c>
      <c r="U8" s="8" t="s">
        <v>33</v>
      </c>
      <c r="V8" s="6">
        <v>0.9</v>
      </c>
      <c r="W8" s="7" t="s">
        <v>51</v>
      </c>
    </row>
    <row r="9" spans="1:23" ht="23" x14ac:dyDescent="0.35">
      <c r="A9" s="4" t="s">
        <v>22</v>
      </c>
      <c r="B9" s="4" t="s">
        <v>23</v>
      </c>
      <c r="C9" s="5">
        <v>3</v>
      </c>
      <c r="D9" s="5">
        <v>5</v>
      </c>
      <c r="E9" s="5" t="s">
        <v>52</v>
      </c>
      <c r="F9" s="5" t="s">
        <v>35</v>
      </c>
      <c r="G9" s="5" t="s">
        <v>26</v>
      </c>
      <c r="H9" s="4" t="s">
        <v>27</v>
      </c>
      <c r="I9" s="4"/>
      <c r="J9" s="5" t="s">
        <v>28</v>
      </c>
      <c r="K9" s="4" t="s">
        <v>53</v>
      </c>
      <c r="L9" s="5">
        <v>5</v>
      </c>
      <c r="M9" s="13">
        <v>1.99</v>
      </c>
      <c r="N9" s="5">
        <v>1000</v>
      </c>
      <c r="O9" s="13">
        <f t="shared" si="0"/>
        <v>1.99</v>
      </c>
      <c r="P9" s="5" t="s">
        <v>30</v>
      </c>
      <c r="Q9" s="5" t="s">
        <v>136</v>
      </c>
      <c r="R9" s="5" t="s">
        <v>31</v>
      </c>
      <c r="S9" s="4" t="s">
        <v>54</v>
      </c>
      <c r="T9" s="4"/>
      <c r="U9" s="5" t="s">
        <v>33</v>
      </c>
      <c r="V9" s="6">
        <v>0.85</v>
      </c>
      <c r="W9" s="4" t="s">
        <v>55</v>
      </c>
    </row>
    <row r="10" spans="1:23" ht="23" x14ac:dyDescent="0.35">
      <c r="A10" s="7" t="s">
        <v>22</v>
      </c>
      <c r="B10" s="7" t="s">
        <v>23</v>
      </c>
      <c r="C10" s="8">
        <v>3</v>
      </c>
      <c r="D10" s="8">
        <v>5</v>
      </c>
      <c r="E10" s="8" t="s">
        <v>52</v>
      </c>
      <c r="F10" s="8" t="s">
        <v>35</v>
      </c>
      <c r="G10" s="8" t="s">
        <v>26</v>
      </c>
      <c r="H10" s="7" t="s">
        <v>27</v>
      </c>
      <c r="I10" s="7"/>
      <c r="J10" s="8" t="s">
        <v>28</v>
      </c>
      <c r="K10" s="7" t="s">
        <v>56</v>
      </c>
      <c r="L10" s="8">
        <v>5</v>
      </c>
      <c r="M10" s="14">
        <v>1.99</v>
      </c>
      <c r="N10" s="8">
        <v>1000</v>
      </c>
      <c r="O10" s="14">
        <f t="shared" si="0"/>
        <v>1.99</v>
      </c>
      <c r="P10" s="8" t="s">
        <v>30</v>
      </c>
      <c r="Q10" s="8" t="s">
        <v>136</v>
      </c>
      <c r="R10" s="8" t="s">
        <v>31</v>
      </c>
      <c r="S10" s="7" t="s">
        <v>57</v>
      </c>
      <c r="T10" s="7"/>
      <c r="U10" s="8" t="s">
        <v>33</v>
      </c>
      <c r="V10" s="6">
        <v>0.85</v>
      </c>
      <c r="W10" s="7" t="s">
        <v>58</v>
      </c>
    </row>
    <row r="11" spans="1:23" ht="23" x14ac:dyDescent="0.35">
      <c r="A11" s="7" t="s">
        <v>22</v>
      </c>
      <c r="B11" s="7" t="s">
        <v>23</v>
      </c>
      <c r="C11" s="8">
        <v>3</v>
      </c>
      <c r="D11" s="8">
        <v>5</v>
      </c>
      <c r="E11" s="8" t="s">
        <v>52</v>
      </c>
      <c r="F11" s="8" t="s">
        <v>35</v>
      </c>
      <c r="G11" s="8" t="s">
        <v>26</v>
      </c>
      <c r="H11" s="7" t="s">
        <v>27</v>
      </c>
      <c r="I11" s="7"/>
      <c r="J11" s="8" t="s">
        <v>28</v>
      </c>
      <c r="K11" s="7" t="s">
        <v>60</v>
      </c>
      <c r="L11" s="8">
        <v>5</v>
      </c>
      <c r="M11" s="14">
        <v>1.99</v>
      </c>
      <c r="N11" s="8">
        <v>1000</v>
      </c>
      <c r="O11" s="14">
        <f t="shared" si="0"/>
        <v>1.99</v>
      </c>
      <c r="P11" s="8" t="s">
        <v>30</v>
      </c>
      <c r="Q11" s="8" t="s">
        <v>136</v>
      </c>
      <c r="R11" s="8" t="s">
        <v>31</v>
      </c>
      <c r="S11" s="7" t="s">
        <v>59</v>
      </c>
      <c r="T11" s="7"/>
      <c r="U11" s="8" t="s">
        <v>33</v>
      </c>
      <c r="V11" s="6">
        <v>0.85</v>
      </c>
      <c r="W11" s="7" t="s">
        <v>61</v>
      </c>
    </row>
    <row r="13" spans="1:23" x14ac:dyDescent="0.35">
      <c r="A13" s="2" t="s">
        <v>62</v>
      </c>
      <c r="B13" s="2" t="s">
        <v>23</v>
      </c>
      <c r="C13" s="2">
        <v>3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3" x14ac:dyDescent="0.35">
      <c r="A14" s="4" t="s">
        <v>62</v>
      </c>
      <c r="B14" s="4" t="s">
        <v>23</v>
      </c>
      <c r="C14" s="5">
        <v>3</v>
      </c>
      <c r="D14" s="5">
        <v>5</v>
      </c>
      <c r="E14" s="5" t="s">
        <v>63</v>
      </c>
      <c r="F14" s="5" t="s">
        <v>35</v>
      </c>
      <c r="G14" s="5" t="s">
        <v>26</v>
      </c>
      <c r="H14" s="4" t="s">
        <v>27</v>
      </c>
      <c r="I14" s="4"/>
      <c r="J14" s="5" t="s">
        <v>28</v>
      </c>
      <c r="K14" s="4" t="s">
        <v>64</v>
      </c>
      <c r="L14" s="5">
        <v>5</v>
      </c>
      <c r="M14" s="13">
        <v>1.99</v>
      </c>
      <c r="N14" s="5">
        <v>1000</v>
      </c>
      <c r="O14" s="13">
        <f t="shared" ref="O14:O20" si="1">IF(OR(M14="",N14=""),"",M14/(N14/1000))</f>
        <v>1.99</v>
      </c>
      <c r="P14" s="5" t="s">
        <v>49</v>
      </c>
      <c r="Q14" s="5" t="s">
        <v>136</v>
      </c>
      <c r="R14" s="5" t="s">
        <v>31</v>
      </c>
      <c r="S14" s="4" t="s">
        <v>65</v>
      </c>
      <c r="T14" s="4"/>
      <c r="U14" s="5" t="s">
        <v>33</v>
      </c>
      <c r="V14" s="6">
        <v>0.9</v>
      </c>
      <c r="W14" s="4" t="s">
        <v>66</v>
      </c>
    </row>
    <row r="15" spans="1:23" ht="23" x14ac:dyDescent="0.35">
      <c r="A15" s="7" t="s">
        <v>62</v>
      </c>
      <c r="B15" s="7" t="s">
        <v>23</v>
      </c>
      <c r="C15" s="8">
        <v>3</v>
      </c>
      <c r="D15" s="8">
        <v>5</v>
      </c>
      <c r="E15" s="8" t="s">
        <v>63</v>
      </c>
      <c r="F15" s="8" t="s">
        <v>35</v>
      </c>
      <c r="G15" s="8" t="s">
        <v>39</v>
      </c>
      <c r="H15" s="7" t="s">
        <v>27</v>
      </c>
      <c r="I15" s="7"/>
      <c r="J15" s="8" t="s">
        <v>28</v>
      </c>
      <c r="K15" s="7" t="s">
        <v>67</v>
      </c>
      <c r="L15" s="8">
        <v>5</v>
      </c>
      <c r="M15" s="14">
        <v>1.99</v>
      </c>
      <c r="N15" s="8">
        <v>1000</v>
      </c>
      <c r="O15" s="14">
        <f t="shared" si="1"/>
        <v>1.99</v>
      </c>
      <c r="P15" s="8" t="s">
        <v>49</v>
      </c>
      <c r="Q15" s="8" t="s">
        <v>136</v>
      </c>
      <c r="R15" s="8" t="s">
        <v>31</v>
      </c>
      <c r="S15" s="7" t="s">
        <v>68</v>
      </c>
      <c r="T15" s="7"/>
      <c r="U15" s="8" t="s">
        <v>33</v>
      </c>
      <c r="V15" s="6">
        <v>0.9</v>
      </c>
      <c r="W15" s="7" t="s">
        <v>69</v>
      </c>
    </row>
    <row r="16" spans="1:23" ht="23" x14ac:dyDescent="0.35">
      <c r="A16" s="4" t="s">
        <v>62</v>
      </c>
      <c r="B16" s="4" t="s">
        <v>23</v>
      </c>
      <c r="C16" s="5">
        <v>3</v>
      </c>
      <c r="D16" s="5">
        <v>5</v>
      </c>
      <c r="E16" s="5" t="s">
        <v>63</v>
      </c>
      <c r="F16" s="5" t="s">
        <v>35</v>
      </c>
      <c r="G16" s="5" t="s">
        <v>39</v>
      </c>
      <c r="H16" s="4" t="s">
        <v>27</v>
      </c>
      <c r="I16" s="4" t="s">
        <v>70</v>
      </c>
      <c r="J16" s="5" t="s">
        <v>28</v>
      </c>
      <c r="K16" s="4" t="s">
        <v>71</v>
      </c>
      <c r="L16" s="5">
        <v>5</v>
      </c>
      <c r="M16" s="13">
        <v>1.79</v>
      </c>
      <c r="N16" s="5">
        <v>1000</v>
      </c>
      <c r="O16" s="13">
        <f t="shared" si="1"/>
        <v>1.79</v>
      </c>
      <c r="P16" s="5" t="s">
        <v>49</v>
      </c>
      <c r="Q16" s="5" t="s">
        <v>136</v>
      </c>
      <c r="R16" s="5" t="s">
        <v>31</v>
      </c>
      <c r="S16" s="4" t="s">
        <v>72</v>
      </c>
      <c r="T16" s="4"/>
      <c r="U16" s="5" t="s">
        <v>33</v>
      </c>
      <c r="V16" s="6">
        <v>0.85</v>
      </c>
      <c r="W16" s="4" t="s">
        <v>73</v>
      </c>
    </row>
    <row r="17" spans="1:23" ht="23" x14ac:dyDescent="0.35">
      <c r="A17" s="7" t="s">
        <v>62</v>
      </c>
      <c r="B17" s="7" t="s">
        <v>23</v>
      </c>
      <c r="C17" s="8">
        <v>3</v>
      </c>
      <c r="D17" s="8">
        <v>5</v>
      </c>
      <c r="E17" s="8" t="s">
        <v>63</v>
      </c>
      <c r="F17" s="8" t="s">
        <v>35</v>
      </c>
      <c r="G17" s="8" t="s">
        <v>39</v>
      </c>
      <c r="H17" s="7" t="s">
        <v>27</v>
      </c>
      <c r="I17" s="7" t="s">
        <v>74</v>
      </c>
      <c r="J17" s="8" t="s">
        <v>28</v>
      </c>
      <c r="K17" s="7" t="s">
        <v>75</v>
      </c>
      <c r="L17" s="8">
        <v>1</v>
      </c>
      <c r="M17" s="14">
        <v>1.79</v>
      </c>
      <c r="N17" s="8">
        <v>1000</v>
      </c>
      <c r="O17" s="14">
        <f t="shared" si="1"/>
        <v>1.79</v>
      </c>
      <c r="P17" s="8" t="s">
        <v>49</v>
      </c>
      <c r="Q17" s="8" t="s">
        <v>136</v>
      </c>
      <c r="R17" s="8" t="s">
        <v>31</v>
      </c>
      <c r="S17" s="7" t="s">
        <v>76</v>
      </c>
      <c r="T17" s="7"/>
      <c r="U17" s="8" t="s">
        <v>33</v>
      </c>
      <c r="V17" s="6">
        <v>0.8</v>
      </c>
      <c r="W17" s="7" t="s">
        <v>77</v>
      </c>
    </row>
    <row r="18" spans="1:23" ht="23" x14ac:dyDescent="0.35">
      <c r="A18" s="4" t="s">
        <v>62</v>
      </c>
      <c r="B18" s="4" t="s">
        <v>23</v>
      </c>
      <c r="C18" s="5">
        <v>3</v>
      </c>
      <c r="D18" s="5">
        <v>5</v>
      </c>
      <c r="E18" s="5" t="s">
        <v>78</v>
      </c>
      <c r="F18" s="5" t="s">
        <v>35</v>
      </c>
      <c r="G18" s="5" t="s">
        <v>26</v>
      </c>
      <c r="H18" s="4" t="s">
        <v>27</v>
      </c>
      <c r="I18" s="4"/>
      <c r="J18" s="5" t="s">
        <v>28</v>
      </c>
      <c r="K18" s="11" t="s">
        <v>53</v>
      </c>
      <c r="L18" s="5">
        <v>6</v>
      </c>
      <c r="M18" s="13">
        <v>1.45</v>
      </c>
      <c r="N18" s="5">
        <v>1000</v>
      </c>
      <c r="O18" s="13">
        <f t="shared" si="1"/>
        <v>1.45</v>
      </c>
      <c r="P18" s="5" t="s">
        <v>49</v>
      </c>
      <c r="Q18" s="5" t="s">
        <v>136</v>
      </c>
      <c r="R18" s="5" t="s">
        <v>31</v>
      </c>
      <c r="S18" s="4" t="s">
        <v>79</v>
      </c>
      <c r="T18" s="4"/>
      <c r="U18" s="5" t="s">
        <v>33</v>
      </c>
      <c r="V18" s="6">
        <v>0.8</v>
      </c>
      <c r="W18" s="4" t="s">
        <v>80</v>
      </c>
    </row>
    <row r="19" spans="1:23" ht="23" x14ac:dyDescent="0.35">
      <c r="A19" s="4" t="s">
        <v>62</v>
      </c>
      <c r="B19" s="4" t="s">
        <v>23</v>
      </c>
      <c r="C19" s="5">
        <v>3</v>
      </c>
      <c r="D19" s="5">
        <v>5</v>
      </c>
      <c r="E19" s="5" t="s">
        <v>78</v>
      </c>
      <c r="F19" s="5" t="s">
        <v>35</v>
      </c>
      <c r="G19" s="5" t="s">
        <v>26</v>
      </c>
      <c r="H19" s="4" t="s">
        <v>27</v>
      </c>
      <c r="I19" s="4"/>
      <c r="J19" s="5" t="s">
        <v>28</v>
      </c>
      <c r="K19" s="11" t="s">
        <v>60</v>
      </c>
      <c r="L19" s="5">
        <v>6</v>
      </c>
      <c r="M19" s="13">
        <v>0.99</v>
      </c>
      <c r="N19" s="5">
        <v>1000</v>
      </c>
      <c r="O19" s="13">
        <f t="shared" si="1"/>
        <v>0.99</v>
      </c>
      <c r="P19" s="5" t="s">
        <v>49</v>
      </c>
      <c r="Q19" s="5" t="s">
        <v>136</v>
      </c>
      <c r="R19" s="5" t="s">
        <v>31</v>
      </c>
      <c r="S19" s="4" t="s">
        <v>81</v>
      </c>
      <c r="T19" s="4"/>
      <c r="U19" s="5" t="s">
        <v>33</v>
      </c>
      <c r="V19" s="6">
        <v>0.9</v>
      </c>
      <c r="W19" s="4" t="s">
        <v>82</v>
      </c>
    </row>
    <row r="20" spans="1:23" ht="23" x14ac:dyDescent="0.35">
      <c r="A20" s="7" t="s">
        <v>62</v>
      </c>
      <c r="B20" s="7" t="s">
        <v>23</v>
      </c>
      <c r="C20" s="8">
        <v>3</v>
      </c>
      <c r="D20" s="8">
        <v>5</v>
      </c>
      <c r="E20" s="8" t="s">
        <v>78</v>
      </c>
      <c r="F20" s="15" t="s">
        <v>35</v>
      </c>
      <c r="G20" s="8" t="s">
        <v>26</v>
      </c>
      <c r="H20" s="7" t="s">
        <v>27</v>
      </c>
      <c r="I20" s="7"/>
      <c r="J20" s="8" t="s">
        <v>28</v>
      </c>
      <c r="K20" s="7" t="s">
        <v>83</v>
      </c>
      <c r="L20" s="8">
        <v>4</v>
      </c>
      <c r="M20" s="14">
        <v>1.39</v>
      </c>
      <c r="N20" s="8">
        <v>1000</v>
      </c>
      <c r="O20" s="14">
        <f t="shared" si="1"/>
        <v>1.39</v>
      </c>
      <c r="P20" s="8" t="s">
        <v>49</v>
      </c>
      <c r="Q20" s="8" t="s">
        <v>136</v>
      </c>
      <c r="R20" s="8" t="s">
        <v>31</v>
      </c>
      <c r="S20" s="7" t="s">
        <v>84</v>
      </c>
      <c r="T20" s="7">
        <v>1.35</v>
      </c>
      <c r="U20" s="8" t="s">
        <v>33</v>
      </c>
      <c r="V20" s="6">
        <v>0.75</v>
      </c>
      <c r="W20" s="7" t="s">
        <v>85</v>
      </c>
    </row>
    <row r="22" spans="1:23" x14ac:dyDescent="0.35">
      <c r="A22" s="2" t="s">
        <v>86</v>
      </c>
      <c r="B22" s="2" t="s">
        <v>23</v>
      </c>
      <c r="C22" s="2">
        <v>3</v>
      </c>
      <c r="D22" s="2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3" x14ac:dyDescent="0.35">
      <c r="A23" s="4" t="s">
        <v>86</v>
      </c>
      <c r="B23" s="4" t="s">
        <v>23</v>
      </c>
      <c r="C23" s="5">
        <v>3</v>
      </c>
      <c r="D23" s="5">
        <v>5</v>
      </c>
      <c r="E23" s="5" t="s">
        <v>87</v>
      </c>
      <c r="F23" s="5" t="s">
        <v>25</v>
      </c>
      <c r="G23" s="5" t="s">
        <v>26</v>
      </c>
      <c r="H23" s="4" t="s">
        <v>27</v>
      </c>
      <c r="I23" s="4" t="s">
        <v>88</v>
      </c>
      <c r="J23" s="5" t="s">
        <v>28</v>
      </c>
      <c r="K23" s="11" t="s">
        <v>108</v>
      </c>
      <c r="L23" s="5">
        <v>2</v>
      </c>
      <c r="M23" s="13">
        <v>1.75</v>
      </c>
      <c r="N23" s="5">
        <v>600</v>
      </c>
      <c r="O23" s="13">
        <f>IF(OR(M23="",N23=""),"",M23/(N23/1000))</f>
        <v>2.916666666666667</v>
      </c>
      <c r="P23" s="5" t="s">
        <v>89</v>
      </c>
      <c r="Q23" s="5" t="s">
        <v>136</v>
      </c>
      <c r="R23" s="5" t="s">
        <v>31</v>
      </c>
      <c r="S23" s="4" t="s">
        <v>32</v>
      </c>
      <c r="T23" s="4"/>
      <c r="U23" s="5" t="s">
        <v>33</v>
      </c>
      <c r="V23" s="9">
        <v>0.7</v>
      </c>
      <c r="W23" s="4" t="s">
        <v>90</v>
      </c>
    </row>
    <row r="24" spans="1:23" ht="23" x14ac:dyDescent="0.35">
      <c r="A24" s="4" t="s">
        <v>86</v>
      </c>
      <c r="B24" s="4" t="s">
        <v>23</v>
      </c>
      <c r="C24" s="5">
        <v>3</v>
      </c>
      <c r="D24" s="5">
        <v>5</v>
      </c>
      <c r="E24" s="5" t="s">
        <v>87</v>
      </c>
      <c r="F24" s="5" t="s">
        <v>35</v>
      </c>
      <c r="G24" s="5" t="s">
        <v>26</v>
      </c>
      <c r="H24" s="4" t="s">
        <v>27</v>
      </c>
      <c r="I24" s="4"/>
      <c r="J24" s="5" t="s">
        <v>28</v>
      </c>
      <c r="K24" s="4" t="s">
        <v>91</v>
      </c>
      <c r="L24" s="5">
        <v>3</v>
      </c>
      <c r="M24" s="13">
        <v>1.49</v>
      </c>
      <c r="N24" s="5">
        <v>2000</v>
      </c>
      <c r="O24" s="13">
        <f>IF(OR(M24="",N24=""),"",M24/(N24/1000))</f>
        <v>0.745</v>
      </c>
      <c r="P24" s="5" t="s">
        <v>30</v>
      </c>
      <c r="Q24" s="5" t="s">
        <v>136</v>
      </c>
      <c r="R24" s="5" t="s">
        <v>31</v>
      </c>
      <c r="S24" s="4" t="s">
        <v>92</v>
      </c>
      <c r="T24" s="4"/>
      <c r="U24" s="5" t="s">
        <v>33</v>
      </c>
      <c r="V24" s="6">
        <v>0.85</v>
      </c>
      <c r="W24" s="4" t="s">
        <v>93</v>
      </c>
    </row>
    <row r="25" spans="1:23" ht="23" x14ac:dyDescent="0.35">
      <c r="A25" s="7" t="s">
        <v>86</v>
      </c>
      <c r="B25" s="7" t="s">
        <v>23</v>
      </c>
      <c r="C25" s="8">
        <v>3</v>
      </c>
      <c r="D25" s="8">
        <v>5</v>
      </c>
      <c r="E25" s="8" t="s">
        <v>87</v>
      </c>
      <c r="F25" s="8" t="s">
        <v>35</v>
      </c>
      <c r="G25" s="8" t="s">
        <v>26</v>
      </c>
      <c r="H25" s="7" t="s">
        <v>27</v>
      </c>
      <c r="I25" s="7"/>
      <c r="J25" s="8" t="s">
        <v>28</v>
      </c>
      <c r="K25" s="7" t="s">
        <v>94</v>
      </c>
      <c r="L25" s="8">
        <v>4</v>
      </c>
      <c r="M25" s="14">
        <v>1.49</v>
      </c>
      <c r="N25" s="8">
        <v>2000</v>
      </c>
      <c r="O25" s="14">
        <f>IF(OR(M25="",N25=""),"",M25/(N25/1000))</f>
        <v>0.745</v>
      </c>
      <c r="P25" s="8" t="s">
        <v>30</v>
      </c>
      <c r="Q25" s="8" t="s">
        <v>136</v>
      </c>
      <c r="R25" s="8" t="s">
        <v>31</v>
      </c>
      <c r="S25" s="7" t="s">
        <v>92</v>
      </c>
      <c r="T25" s="7"/>
      <c r="U25" s="8" t="s">
        <v>33</v>
      </c>
      <c r="V25" s="6">
        <v>0.85</v>
      </c>
      <c r="W25" s="7" t="s">
        <v>95</v>
      </c>
    </row>
    <row r="26" spans="1:23" ht="23" x14ac:dyDescent="0.35">
      <c r="A26" s="4" t="s">
        <v>86</v>
      </c>
      <c r="B26" s="4" t="s">
        <v>23</v>
      </c>
      <c r="C26" s="5">
        <v>3</v>
      </c>
      <c r="D26" s="5">
        <v>5</v>
      </c>
      <c r="E26" s="5" t="s">
        <v>87</v>
      </c>
      <c r="F26" s="5" t="s">
        <v>47</v>
      </c>
      <c r="G26" s="5" t="s">
        <v>39</v>
      </c>
      <c r="H26" s="4" t="s">
        <v>27</v>
      </c>
      <c r="I26" s="4"/>
      <c r="J26" s="5" t="s">
        <v>28</v>
      </c>
      <c r="K26" s="11" t="s">
        <v>105</v>
      </c>
      <c r="L26" s="5">
        <v>2</v>
      </c>
      <c r="M26" s="13">
        <v>1.69</v>
      </c>
      <c r="N26" s="5">
        <v>330</v>
      </c>
      <c r="O26" s="13">
        <f>IF(OR(M26="",N26=""),"",M26/(N26/1000))</f>
        <v>5.1212121212121211</v>
      </c>
      <c r="P26" s="5" t="s">
        <v>30</v>
      </c>
      <c r="Q26" s="16" t="s">
        <v>138</v>
      </c>
      <c r="R26" s="5" t="s">
        <v>31</v>
      </c>
      <c r="S26" s="4" t="s">
        <v>97</v>
      </c>
      <c r="T26" s="4" t="s">
        <v>98</v>
      </c>
      <c r="U26" s="5" t="s">
        <v>33</v>
      </c>
      <c r="V26" s="9">
        <v>0.6</v>
      </c>
      <c r="W26" s="4" t="s">
        <v>99</v>
      </c>
    </row>
    <row r="27" spans="1:23" ht="23" x14ac:dyDescent="0.35">
      <c r="A27" s="7" t="s">
        <v>86</v>
      </c>
      <c r="B27" s="7" t="s">
        <v>23</v>
      </c>
      <c r="C27" s="8">
        <v>3</v>
      </c>
      <c r="D27" s="8">
        <v>5</v>
      </c>
      <c r="E27" s="8" t="s">
        <v>87</v>
      </c>
      <c r="F27" s="8" t="s">
        <v>47</v>
      </c>
      <c r="G27" s="8" t="s">
        <v>39</v>
      </c>
      <c r="H27" s="7" t="s">
        <v>27</v>
      </c>
      <c r="I27" s="7"/>
      <c r="J27" s="8" t="s">
        <v>28</v>
      </c>
      <c r="K27" s="7" t="s">
        <v>106</v>
      </c>
      <c r="L27" s="8">
        <v>2</v>
      </c>
      <c r="M27" s="14">
        <v>1.69</v>
      </c>
      <c r="N27" s="8">
        <v>330</v>
      </c>
      <c r="O27" s="14">
        <f t="shared" ref="O27:O28" si="2">IF(OR(M27="",N27=""),"",M27/(N27/1000))</f>
        <v>5.1212121212121211</v>
      </c>
      <c r="P27" s="8" t="s">
        <v>30</v>
      </c>
      <c r="Q27" s="8" t="s">
        <v>138</v>
      </c>
      <c r="R27" s="8" t="s">
        <v>31</v>
      </c>
      <c r="S27" s="8" t="s">
        <v>97</v>
      </c>
      <c r="T27" s="8" t="s">
        <v>98</v>
      </c>
      <c r="U27" s="8" t="s">
        <v>33</v>
      </c>
      <c r="V27" s="9">
        <v>1.6</v>
      </c>
      <c r="W27" s="4" t="s">
        <v>99</v>
      </c>
    </row>
    <row r="28" spans="1:23" ht="23" x14ac:dyDescent="0.35">
      <c r="A28" s="4" t="s">
        <v>86</v>
      </c>
      <c r="B28" s="4" t="s">
        <v>23</v>
      </c>
      <c r="C28" s="5">
        <v>3</v>
      </c>
      <c r="D28" s="5">
        <v>5</v>
      </c>
      <c r="E28" s="16" t="s">
        <v>87</v>
      </c>
      <c r="F28" s="5" t="s">
        <v>47</v>
      </c>
      <c r="G28" s="5" t="s">
        <v>39</v>
      </c>
      <c r="H28" s="4" t="s">
        <v>27</v>
      </c>
      <c r="I28" s="4"/>
      <c r="J28" s="5" t="s">
        <v>28</v>
      </c>
      <c r="K28" s="11" t="s">
        <v>107</v>
      </c>
      <c r="L28" s="5">
        <v>2</v>
      </c>
      <c r="M28" s="13">
        <v>1.69</v>
      </c>
      <c r="N28" s="5">
        <v>330</v>
      </c>
      <c r="O28" s="13">
        <f t="shared" si="2"/>
        <v>5.1212121212121211</v>
      </c>
      <c r="P28" s="5" t="s">
        <v>30</v>
      </c>
      <c r="Q28" s="16" t="s">
        <v>138</v>
      </c>
      <c r="R28" s="5" t="s">
        <v>31</v>
      </c>
      <c r="S28" s="4" t="s">
        <v>97</v>
      </c>
      <c r="T28" s="4" t="s">
        <v>98</v>
      </c>
      <c r="U28" s="5" t="s">
        <v>33</v>
      </c>
      <c r="V28" s="9">
        <v>2.6</v>
      </c>
      <c r="W28" s="4" t="s">
        <v>99</v>
      </c>
    </row>
    <row r="30" spans="1:23" x14ac:dyDescent="0.35">
      <c r="A30" s="17" t="s">
        <v>109</v>
      </c>
      <c r="B30" s="17" t="s">
        <v>110</v>
      </c>
      <c r="C30" s="17">
        <v>1.5</v>
      </c>
      <c r="D30" s="17">
        <v>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34.5" x14ac:dyDescent="0.35">
      <c r="A31" s="11" t="s">
        <v>109</v>
      </c>
      <c r="B31" s="11" t="s">
        <v>110</v>
      </c>
      <c r="C31" s="16">
        <v>1.5</v>
      </c>
      <c r="D31" s="16">
        <v>1</v>
      </c>
      <c r="E31" s="16" t="s">
        <v>24</v>
      </c>
      <c r="F31" s="16" t="s">
        <v>47</v>
      </c>
      <c r="G31" s="16" t="s">
        <v>39</v>
      </c>
      <c r="H31" s="11" t="s">
        <v>27</v>
      </c>
      <c r="I31" s="11" t="s">
        <v>111</v>
      </c>
      <c r="J31" s="16" t="s">
        <v>28</v>
      </c>
      <c r="K31" s="11" t="s">
        <v>139</v>
      </c>
      <c r="L31" s="16">
        <v>2</v>
      </c>
      <c r="M31" s="18">
        <v>0.9</v>
      </c>
      <c r="N31" s="16">
        <v>500</v>
      </c>
      <c r="O31" s="18">
        <f t="shared" ref="O31:O39" si="3">IF(OR(M31="",N31=""),"",M31/(N31/1000))</f>
        <v>1.8</v>
      </c>
      <c r="P31" s="16" t="s">
        <v>30</v>
      </c>
      <c r="Q31" s="16" t="s">
        <v>136</v>
      </c>
      <c r="R31" s="16" t="s">
        <v>31</v>
      </c>
      <c r="S31" s="11" t="s">
        <v>112</v>
      </c>
      <c r="T31" s="11" t="s">
        <v>113</v>
      </c>
      <c r="U31" s="16" t="s">
        <v>33</v>
      </c>
      <c r="V31" s="19">
        <v>0.7</v>
      </c>
      <c r="W31" s="11" t="s">
        <v>114</v>
      </c>
    </row>
    <row r="32" spans="1:23" x14ac:dyDescent="0.35">
      <c r="A32" s="11" t="s">
        <v>109</v>
      </c>
      <c r="B32" s="11" t="s">
        <v>110</v>
      </c>
      <c r="C32" s="16">
        <v>1.5</v>
      </c>
      <c r="D32" s="16">
        <v>1</v>
      </c>
      <c r="E32" s="16" t="s">
        <v>24</v>
      </c>
      <c r="F32" s="16" t="s">
        <v>47</v>
      </c>
      <c r="G32" s="16"/>
      <c r="H32" s="11" t="s">
        <v>27</v>
      </c>
      <c r="I32" s="11" t="s">
        <v>111</v>
      </c>
      <c r="J32" s="16" t="s">
        <v>28</v>
      </c>
      <c r="K32" s="11" t="s">
        <v>140</v>
      </c>
      <c r="L32" s="16">
        <v>2</v>
      </c>
      <c r="M32" s="18">
        <v>0.9</v>
      </c>
      <c r="N32" s="16">
        <v>500</v>
      </c>
      <c r="O32" s="18">
        <f t="shared" si="3"/>
        <v>1.8</v>
      </c>
      <c r="P32" s="16" t="s">
        <v>30</v>
      </c>
      <c r="Q32" s="16" t="s">
        <v>136</v>
      </c>
      <c r="R32" s="16" t="s">
        <v>31</v>
      </c>
      <c r="S32" s="11"/>
      <c r="T32" s="11"/>
      <c r="U32" s="16"/>
      <c r="V32" s="19"/>
      <c r="W32" s="11"/>
    </row>
    <row r="33" spans="1:23" ht="23" x14ac:dyDescent="0.35">
      <c r="A33" s="10" t="s">
        <v>109</v>
      </c>
      <c r="B33" s="10" t="s">
        <v>110</v>
      </c>
      <c r="C33" s="15">
        <v>1.5</v>
      </c>
      <c r="D33" s="15">
        <v>1</v>
      </c>
      <c r="E33" s="15" t="s">
        <v>24</v>
      </c>
      <c r="F33" s="15" t="s">
        <v>35</v>
      </c>
      <c r="G33" s="15" t="s">
        <v>39</v>
      </c>
      <c r="H33" s="10" t="s">
        <v>27</v>
      </c>
      <c r="I33" s="10" t="s">
        <v>115</v>
      </c>
      <c r="J33" s="15" t="s">
        <v>28</v>
      </c>
      <c r="K33" s="10" t="s">
        <v>116</v>
      </c>
      <c r="L33" s="15">
        <v>2</v>
      </c>
      <c r="M33" s="20">
        <v>0.99</v>
      </c>
      <c r="N33" s="15">
        <v>300</v>
      </c>
      <c r="O33" s="20">
        <f t="shared" si="3"/>
        <v>3.3000000000000003</v>
      </c>
      <c r="P33" s="15" t="s">
        <v>30</v>
      </c>
      <c r="Q33" s="16" t="s">
        <v>136</v>
      </c>
      <c r="R33" s="15" t="s">
        <v>40</v>
      </c>
      <c r="S33" s="10" t="s">
        <v>117</v>
      </c>
      <c r="T33" s="10"/>
      <c r="U33" s="15" t="s">
        <v>33</v>
      </c>
      <c r="V33" s="21">
        <v>0.8</v>
      </c>
      <c r="W33" s="10" t="s">
        <v>118</v>
      </c>
    </row>
    <row r="34" spans="1:23" ht="34.5" x14ac:dyDescent="0.35">
      <c r="A34" s="11" t="s">
        <v>109</v>
      </c>
      <c r="B34" s="11" t="s">
        <v>110</v>
      </c>
      <c r="C34" s="16">
        <v>1.5</v>
      </c>
      <c r="D34" s="16">
        <v>1</v>
      </c>
      <c r="E34" s="16" t="s">
        <v>24</v>
      </c>
      <c r="F34" s="16" t="s">
        <v>35</v>
      </c>
      <c r="G34" s="16" t="s">
        <v>39</v>
      </c>
      <c r="H34" s="11" t="s">
        <v>27</v>
      </c>
      <c r="I34" s="11" t="s">
        <v>115</v>
      </c>
      <c r="J34" s="16" t="s">
        <v>28</v>
      </c>
      <c r="K34" s="11" t="s">
        <v>119</v>
      </c>
      <c r="L34" s="16">
        <v>2</v>
      </c>
      <c r="M34" s="18">
        <v>0.99</v>
      </c>
      <c r="N34" s="16">
        <v>300</v>
      </c>
      <c r="O34" s="18">
        <f t="shared" si="3"/>
        <v>3.3000000000000003</v>
      </c>
      <c r="P34" s="16" t="s">
        <v>30</v>
      </c>
      <c r="Q34" s="16" t="s">
        <v>136</v>
      </c>
      <c r="R34" s="16" t="s">
        <v>40</v>
      </c>
      <c r="S34" s="11" t="s">
        <v>117</v>
      </c>
      <c r="T34" s="11"/>
      <c r="U34" s="16" t="s">
        <v>33</v>
      </c>
      <c r="V34" s="21">
        <v>0.75</v>
      </c>
      <c r="W34" s="11" t="s">
        <v>120</v>
      </c>
    </row>
    <row r="35" spans="1:23" ht="23" x14ac:dyDescent="0.35">
      <c r="A35" s="10" t="s">
        <v>109</v>
      </c>
      <c r="B35" s="10" t="s">
        <v>110</v>
      </c>
      <c r="C35" s="15">
        <v>1.5</v>
      </c>
      <c r="D35" s="15">
        <v>1</v>
      </c>
      <c r="E35" s="15" t="s">
        <v>24</v>
      </c>
      <c r="F35" s="15" t="s">
        <v>35</v>
      </c>
      <c r="G35" s="15" t="s">
        <v>39</v>
      </c>
      <c r="H35" s="10" t="s">
        <v>27</v>
      </c>
      <c r="I35" s="10" t="s">
        <v>115</v>
      </c>
      <c r="J35" s="15" t="s">
        <v>28</v>
      </c>
      <c r="K35" s="10" t="s">
        <v>121</v>
      </c>
      <c r="L35" s="15">
        <v>2</v>
      </c>
      <c r="M35" s="20">
        <v>0.99</v>
      </c>
      <c r="N35" s="15">
        <v>300</v>
      </c>
      <c r="O35" s="20">
        <f t="shared" si="3"/>
        <v>3.3000000000000003</v>
      </c>
      <c r="P35" s="15" t="s">
        <v>30</v>
      </c>
      <c r="Q35" s="16" t="s">
        <v>136</v>
      </c>
      <c r="R35" s="15" t="s">
        <v>40</v>
      </c>
      <c r="S35" s="10" t="s">
        <v>117</v>
      </c>
      <c r="T35" s="10"/>
      <c r="U35" s="15" t="s">
        <v>33</v>
      </c>
      <c r="V35" s="19">
        <v>0.65</v>
      </c>
      <c r="W35" s="10" t="s">
        <v>122</v>
      </c>
    </row>
    <row r="36" spans="1:23" ht="23" x14ac:dyDescent="0.35">
      <c r="A36" s="11" t="s">
        <v>109</v>
      </c>
      <c r="B36" s="11" t="s">
        <v>110</v>
      </c>
      <c r="C36" s="16">
        <v>1.5</v>
      </c>
      <c r="D36" s="16">
        <v>1</v>
      </c>
      <c r="E36" s="16" t="s">
        <v>24</v>
      </c>
      <c r="F36" s="16" t="s">
        <v>35</v>
      </c>
      <c r="G36" s="16" t="s">
        <v>26</v>
      </c>
      <c r="H36" s="11" t="s">
        <v>27</v>
      </c>
      <c r="I36" s="11" t="s">
        <v>123</v>
      </c>
      <c r="J36" s="16" t="s">
        <v>28</v>
      </c>
      <c r="K36" s="11" t="s">
        <v>36</v>
      </c>
      <c r="L36" s="16">
        <v>1</v>
      </c>
      <c r="M36" s="18">
        <v>1.0900000000000001</v>
      </c>
      <c r="N36" s="16">
        <v>330</v>
      </c>
      <c r="O36" s="18">
        <f t="shared" si="3"/>
        <v>3.3030303030303032</v>
      </c>
      <c r="P36" s="16" t="s">
        <v>30</v>
      </c>
      <c r="Q36" s="16" t="s">
        <v>136</v>
      </c>
      <c r="R36" s="16" t="s">
        <v>31</v>
      </c>
      <c r="S36" s="11"/>
      <c r="T36" s="11"/>
      <c r="U36" s="16" t="s">
        <v>33</v>
      </c>
      <c r="V36" s="21">
        <v>0.8</v>
      </c>
      <c r="W36" s="11" t="s">
        <v>124</v>
      </c>
    </row>
    <row r="37" spans="1:23" ht="23" x14ac:dyDescent="0.35">
      <c r="A37" s="10" t="s">
        <v>109</v>
      </c>
      <c r="B37" s="10" t="s">
        <v>110</v>
      </c>
      <c r="C37" s="15">
        <v>1.5</v>
      </c>
      <c r="D37" s="15">
        <v>1</v>
      </c>
      <c r="E37" s="15" t="s">
        <v>24</v>
      </c>
      <c r="F37" s="15" t="s">
        <v>35</v>
      </c>
      <c r="G37" s="15" t="s">
        <v>26</v>
      </c>
      <c r="H37" s="10" t="s">
        <v>27</v>
      </c>
      <c r="I37" s="10" t="s">
        <v>123</v>
      </c>
      <c r="J37" s="15" t="s">
        <v>28</v>
      </c>
      <c r="K37" s="10" t="s">
        <v>125</v>
      </c>
      <c r="L37" s="15">
        <v>2</v>
      </c>
      <c r="M37" s="20">
        <v>1.0900000000000001</v>
      </c>
      <c r="N37" s="15">
        <v>330</v>
      </c>
      <c r="O37" s="20">
        <f t="shared" si="3"/>
        <v>3.3030303030303032</v>
      </c>
      <c r="P37" s="15" t="s">
        <v>30</v>
      </c>
      <c r="Q37" s="16" t="s">
        <v>136</v>
      </c>
      <c r="R37" s="15" t="s">
        <v>31</v>
      </c>
      <c r="S37" s="10"/>
      <c r="T37" s="10"/>
      <c r="U37" s="15" t="s">
        <v>33</v>
      </c>
      <c r="V37" s="19">
        <v>0.7</v>
      </c>
      <c r="W37" s="10" t="s">
        <v>126</v>
      </c>
    </row>
    <row r="38" spans="1:23" ht="23" x14ac:dyDescent="0.35">
      <c r="A38" s="11" t="s">
        <v>109</v>
      </c>
      <c r="B38" s="11" t="s">
        <v>110</v>
      </c>
      <c r="C38" s="16">
        <v>1.5</v>
      </c>
      <c r="D38" s="16">
        <v>1</v>
      </c>
      <c r="E38" s="16" t="s">
        <v>24</v>
      </c>
      <c r="F38" s="16" t="s">
        <v>35</v>
      </c>
      <c r="G38" s="16" t="s">
        <v>39</v>
      </c>
      <c r="H38" s="11" t="s">
        <v>27</v>
      </c>
      <c r="I38" s="11" t="s">
        <v>123</v>
      </c>
      <c r="J38" s="16" t="s">
        <v>28</v>
      </c>
      <c r="K38" s="11" t="s">
        <v>127</v>
      </c>
      <c r="L38" s="16">
        <v>1</v>
      </c>
      <c r="M38" s="18">
        <v>1.0900000000000001</v>
      </c>
      <c r="N38" s="16">
        <v>330</v>
      </c>
      <c r="O38" s="18">
        <f t="shared" si="3"/>
        <v>3.3030303030303032</v>
      </c>
      <c r="P38" s="16" t="s">
        <v>30</v>
      </c>
      <c r="Q38" s="16" t="s">
        <v>136</v>
      </c>
      <c r="R38" s="16" t="s">
        <v>31</v>
      </c>
      <c r="S38" s="11" t="s">
        <v>127</v>
      </c>
      <c r="T38" s="11"/>
      <c r="U38" s="16" t="s">
        <v>33</v>
      </c>
      <c r="V38" s="19">
        <v>0.7</v>
      </c>
      <c r="W38" s="11" t="s">
        <v>128</v>
      </c>
    </row>
    <row r="39" spans="1:23" ht="57.5" x14ac:dyDescent="0.35">
      <c r="A39" s="10" t="s">
        <v>109</v>
      </c>
      <c r="B39" s="10" t="s">
        <v>110</v>
      </c>
      <c r="C39" s="15">
        <v>1.5</v>
      </c>
      <c r="D39" s="15">
        <v>1</v>
      </c>
      <c r="E39" s="15" t="s">
        <v>24</v>
      </c>
      <c r="F39" s="15" t="s">
        <v>129</v>
      </c>
      <c r="G39" s="15" t="s">
        <v>39</v>
      </c>
      <c r="H39" s="10" t="s">
        <v>132</v>
      </c>
      <c r="I39" s="10" t="s">
        <v>130</v>
      </c>
      <c r="J39" s="15" t="s">
        <v>96</v>
      </c>
      <c r="K39" s="10" t="s">
        <v>133</v>
      </c>
      <c r="L39" s="15">
        <v>2</v>
      </c>
      <c r="M39" s="20">
        <v>1.0900000000000001</v>
      </c>
      <c r="N39" s="15">
        <v>100</v>
      </c>
      <c r="O39" s="20">
        <f t="shared" si="3"/>
        <v>10.9</v>
      </c>
      <c r="P39" s="15" t="s">
        <v>30</v>
      </c>
      <c r="Q39" s="16" t="s">
        <v>136</v>
      </c>
      <c r="R39" s="15" t="s">
        <v>40</v>
      </c>
      <c r="S39" s="10" t="s">
        <v>137</v>
      </c>
      <c r="T39" s="10"/>
      <c r="U39" s="15" t="s">
        <v>33</v>
      </c>
      <c r="V39" s="21">
        <v>0.75</v>
      </c>
      <c r="W39" s="10" t="s">
        <v>131</v>
      </c>
    </row>
    <row r="40" spans="1:23" ht="23" x14ac:dyDescent="0.35">
      <c r="A40" s="10" t="s">
        <v>109</v>
      </c>
      <c r="B40" s="10" t="s">
        <v>110</v>
      </c>
      <c r="C40" s="15">
        <v>1.5</v>
      </c>
      <c r="D40" s="15">
        <v>1</v>
      </c>
      <c r="E40" s="15" t="s">
        <v>52</v>
      </c>
      <c r="F40" s="15" t="s">
        <v>129</v>
      </c>
      <c r="G40" s="15" t="s">
        <v>39</v>
      </c>
      <c r="H40" s="10" t="s">
        <v>132</v>
      </c>
      <c r="I40" s="10" t="s">
        <v>130</v>
      </c>
      <c r="J40" s="15" t="s">
        <v>96</v>
      </c>
      <c r="K40" s="10" t="s">
        <v>134</v>
      </c>
      <c r="L40" s="23">
        <v>2</v>
      </c>
      <c r="M40" s="20">
        <v>1.0900000000000001</v>
      </c>
      <c r="N40" s="15">
        <v>100</v>
      </c>
      <c r="O40" s="20">
        <f t="shared" ref="O40:O41" si="4">IF(OR(M40="",N40=""),"",M40/(N40/1000))</f>
        <v>10.9</v>
      </c>
      <c r="P40" s="15" t="s">
        <v>30</v>
      </c>
      <c r="Q40" s="16" t="s">
        <v>136</v>
      </c>
      <c r="R40" s="15" t="s">
        <v>40</v>
      </c>
      <c r="S40" s="10" t="s">
        <v>137</v>
      </c>
      <c r="T40" s="22"/>
      <c r="U40" s="23"/>
      <c r="V40" s="24"/>
      <c r="W40" s="22"/>
    </row>
    <row r="41" spans="1:23" ht="23" x14ac:dyDescent="0.35">
      <c r="A41" s="10" t="s">
        <v>109</v>
      </c>
      <c r="B41" s="10" t="s">
        <v>110</v>
      </c>
      <c r="C41" s="15">
        <v>1.5</v>
      </c>
      <c r="D41" s="15">
        <v>1</v>
      </c>
      <c r="E41" s="15" t="s">
        <v>63</v>
      </c>
      <c r="F41" s="15" t="s">
        <v>129</v>
      </c>
      <c r="G41" s="15" t="s">
        <v>39</v>
      </c>
      <c r="H41" s="10" t="s">
        <v>132</v>
      </c>
      <c r="I41" s="10" t="s">
        <v>130</v>
      </c>
      <c r="J41" s="15" t="s">
        <v>96</v>
      </c>
      <c r="K41" s="10" t="s">
        <v>135</v>
      </c>
      <c r="L41" s="23">
        <v>2</v>
      </c>
      <c r="M41" s="20">
        <v>1.0900000000000001</v>
      </c>
      <c r="N41" s="15">
        <v>100</v>
      </c>
      <c r="O41" s="20">
        <f t="shared" si="4"/>
        <v>10.9</v>
      </c>
      <c r="P41" s="15" t="s">
        <v>30</v>
      </c>
      <c r="Q41" s="16" t="s">
        <v>136</v>
      </c>
      <c r="R41" s="15" t="s">
        <v>40</v>
      </c>
      <c r="S41" s="10" t="s">
        <v>137</v>
      </c>
      <c r="T41" s="22"/>
      <c r="U41" s="23"/>
      <c r="V41" s="24"/>
      <c r="W41" s="22"/>
    </row>
  </sheetData>
  <autoFilter ref="A1:W26" xr:uid="{00000000-0009-0000-0000-000000000000}"/>
  <phoneticPr fontId="6" type="noConversion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Fee Dorpmans</cp:lastModifiedBy>
  <cp:revision>0</cp:revision>
  <dcterms:created xsi:type="dcterms:W3CDTF">2026-02-13T12:38:06Z</dcterms:created>
  <dcterms:modified xsi:type="dcterms:W3CDTF">2026-02-13T14:41:47Z</dcterms:modified>
  <dc:language>en-US</dc:language>
</cp:coreProperties>
</file>