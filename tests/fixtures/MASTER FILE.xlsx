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77cb24148bbd98a/Desktop/UK files/"/>
    </mc:Choice>
  </mc:AlternateContent>
  <xr:revisionPtr revIDLastSave="0" documentId="8_{6B5B2CB3-3028-422E-874E-EF71127DB75C}" xr6:coauthVersionLast="47" xr6:coauthVersionMax="47" xr10:uidLastSave="{00000000-0000-0000-0000-000000000000}"/>
  <bookViews>
    <workbookView xWindow="-10440" yWindow="-21720" windowWidth="51840" windowHeight="21120" xr2:uid="{00000000-000D-0000-FFFF-FFFF00000000}"/>
  </bookViews>
  <sheets>
    <sheet name="SKU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9" i="1" l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<sst xmlns="http://schemas.openxmlformats.org/spreadsheetml/2006/main" count="603" uniqueCount="139">
  <si>
    <t>Country</t>
  </si>
  <si>
    <t>Retailer</t>
  </si>
  <si>
    <t>Store Name</t>
  </si>
  <si>
    <t>City</t>
  </si>
  <si>
    <t>Store Format</t>
  </si>
  <si>
    <t>Photo</t>
  </si>
  <si>
    <t>Shelf Location</t>
  </si>
  <si>
    <t>Shelf Levels</t>
  </si>
  <si>
    <t>Shelf Level</t>
  </si>
  <si>
    <t>Product Type</t>
  </si>
  <si>
    <t>Need State</t>
  </si>
  <si>
    <t>Brand</t>
  </si>
  <si>
    <t>Sub-brand</t>
  </si>
  <si>
    <t>Product Name</t>
  </si>
  <si>
    <t>Branded/Private Label</t>
  </si>
  <si>
    <t>Flavor</t>
  </si>
  <si>
    <t>Facings</t>
  </si>
  <si>
    <t>Price (EUR)</t>
  </si>
  <si>
    <t>Packaging Size (ml)</t>
  </si>
  <si>
    <t>Price per Liter (EUR)</t>
  </si>
  <si>
    <t>Packaging Type</t>
  </si>
  <si>
    <t>Juice Extraction Method</t>
  </si>
  <si>
    <t>Processing Method</t>
  </si>
  <si>
    <t>HPP Treatment</t>
  </si>
  <si>
    <t>Claims</t>
  </si>
  <si>
    <t>Bonus/Promotions</t>
  </si>
  <si>
    <t>Stock Status</t>
  </si>
  <si>
    <t>Confidence Score</t>
  </si>
  <si>
    <t>Notes</t>
  </si>
  <si>
    <t>United Kingdom</t>
  </si>
  <si>
    <t>M&amp;S</t>
  </si>
  <si>
    <t>test</t>
  </si>
  <si>
    <t>Supermarket</t>
  </si>
  <si>
    <t>Chilled section_Fridge1.jpg</t>
  </si>
  <si>
    <t>Chilled Juice Aisle</t>
  </si>
  <si>
    <t>4th</t>
  </si>
  <si>
    <t>Pure Juices</t>
  </si>
  <si>
    <t>Indulgence</t>
  </si>
  <si>
    <t>Tesco</t>
  </si>
  <si>
    <t>Orange Juice With Bits</t>
  </si>
  <si>
    <t>Private Label</t>
  </si>
  <si>
    <t>Orange</t>
  </si>
  <si>
    <t>PET bottle</t>
  </si>
  <si>
    <t>NFC (Direct Juice)</t>
  </si>
  <si>
    <t>Pasteurised</t>
  </si>
  <si>
    <t>No</t>
  </si>
  <si>
    <t>In Stock</t>
  </si>
  <si>
    <t>Large format bottles on 4th shelf. Label reads Orange Juice With Bits. Also visible in Chilled section_Fridge1_Third shelf.jpg</t>
  </si>
  <si>
    <t>Other</t>
  </si>
  <si>
    <t>Plenish</t>
  </si>
  <si>
    <t>Coconut</t>
  </si>
  <si>
    <t>Branded</t>
  </si>
  <si>
    <t>Tetra Pak</t>
  </si>
  <si>
    <t>Organic, Just 2 Natural Ingredients</t>
  </si>
  <si>
    <t>Plant-based milk, not a juice. Visible on far left of 4th shelf. Also visible in Chilled section_Fridge1_Third shelf.jpg</t>
  </si>
  <si>
    <t>Almond</t>
  </si>
  <si>
    <t>Organic</t>
  </si>
  <si>
    <t>Plant-based milk, not a juice. Visible on far left of 4th shelf</t>
  </si>
  <si>
    <t>5th</t>
  </si>
  <si>
    <t>Orange Juice</t>
  </si>
  <si>
    <t>From Concentrate</t>
  </si>
  <si>
    <t>Far left bottom shelf. Small orange carton. Price tag reads £1.45</t>
  </si>
  <si>
    <t>2nd</t>
  </si>
  <si>
    <t>Mango Juice</t>
  </si>
  <si>
    <t>Mango</t>
  </si>
  <si>
    <t>Never From Concentrate</t>
  </si>
  <si>
    <t>Partially visible on far left of second shelf row, yellow/orange bottle</t>
  </si>
  <si>
    <t>Welch's</t>
  </si>
  <si>
    <t>100% Pure Grape Juice</t>
  </si>
  <si>
    <t>Grape</t>
  </si>
  <si>
    <t>100% Pure, Juice From Concentrate</t>
  </si>
  <si>
    <t>Everyday Low Price</t>
  </si>
  <si>
    <t>Large Welch's bottle visible on right side of second shelf. Price tag reads Everyday Low Price £4.75</t>
  </si>
  <si>
    <t>3rd</t>
  </si>
  <si>
    <t>Large format 1.5L bottles on middle shelf. Visible in Chilled section_Fridge1.jpg centre</t>
  </si>
  <si>
    <t>Chilled section_Fridge1_Second shelf.jpg</t>
  </si>
  <si>
    <t>Price tag says Tesco Never From Concentrate Juice. Also visible in Chilled section_Fridge1.jpg</t>
  </si>
  <si>
    <t>Apple, Peach, Mango &amp; Passion Fruit Juice</t>
  </si>
  <si>
    <t>Apple, Peach, Mango &amp; Passion Fruit</t>
  </si>
  <si>
    <t>Label reads Apple Peach Mango &amp; Passion Fruit. Price tag confirms NFC</t>
  </si>
  <si>
    <t>Cranberry Juice Drink</t>
  </si>
  <si>
    <t>Cranberry</t>
  </si>
  <si>
    <t>Dark red/cranberry coloured bottle. Label reads Cranberry Juice Drink</t>
  </si>
  <si>
    <t>Ocean Spray</t>
  </si>
  <si>
    <t>Cranberry No Added Sugar</t>
  </si>
  <si>
    <t>No Added Sugar, High in Vitamin C, Antioxidant, Made With Whole Cranberries</t>
  </si>
  <si>
    <t>Two facings visible. Also visible in Chilled section_Fridge1.jpg</t>
  </si>
  <si>
    <t>Price tag shows £3. Also visible in Chilled section_Fridge1.jpg</t>
  </si>
  <si>
    <t>Apple &amp; Mango Juice</t>
  </si>
  <si>
    <t>Apple &amp; Mango</t>
  </si>
  <si>
    <t>Partially visible on far left of second shelf. Label reads Apple &amp; Mango</t>
  </si>
  <si>
    <t>Orange &amp; Mango Juice</t>
  </si>
  <si>
    <t>Orange &amp; Mango</t>
  </si>
  <si>
    <t>Visible on third shelf left side. Also visible in Chilled section_Fridge1.jpg</t>
  </si>
  <si>
    <t>Clementine Juice</t>
  </si>
  <si>
    <t>Clementine</t>
  </si>
  <si>
    <t>Label clearly reads Clementine Juice. Price tag confirms £2.10. Also visible in Chilled section_Fridge1.jpg</t>
  </si>
  <si>
    <t>Breakfast Juice</t>
  </si>
  <si>
    <t>Breakfast</t>
  </si>
  <si>
    <t>Out of Stock</t>
  </si>
  <si>
    <t>Price tag visible reading 'Sorry, temporarily out of stock.' Shelf space empty.</t>
  </si>
  <si>
    <t>Pink Grapefruit Juice</t>
  </si>
  <si>
    <t>Pink Grapefruit</t>
  </si>
  <si>
    <t>Pink/reddish coloured juice bottles on right side of third shelf. Label reads Pink Grapefruit</t>
  </si>
  <si>
    <t>Chilled section_Fridge1_Third shelf.jpg</t>
  </si>
  <si>
    <t>Orange Juice Smooth</t>
  </si>
  <si>
    <t>Large format bottles. Label reads Orange Juice Smooth. Also visible in Chilled section_Fridge1.jpg</t>
  </si>
  <si>
    <t>Grower's Harvest</t>
  </si>
  <si>
    <t>Aldi Price Match</t>
  </si>
  <si>
    <t>Grower's Harvest is a Tesco private label brand. Price tag reads 99p with Aldi Price Match. Also visible in Chilled section_Fridge1.jpg</t>
  </si>
  <si>
    <t>Apple Juice</t>
  </si>
  <si>
    <t>Apple</t>
  </si>
  <si>
    <t>Green apple imagery on carton. Price tag reads £1.95. Also visible in Chilled section_Fridge1.jpg</t>
  </si>
  <si>
    <t>Blue carton with Tesco branding. Price tag reads £3.25. Also visible in Chilled section_Fridge1.jpg</t>
  </si>
  <si>
    <t>Orange Juice From Concentrate</t>
  </si>
  <si>
    <t>Larger Grower's Harvest carton. Price tag reads £2.19 with Aldi Price Match</t>
  </si>
  <si>
    <t>Chilled section_Fridge1_Top shelf.jpg</t>
  </si>
  <si>
    <t>1st</t>
  </si>
  <si>
    <t>Finest</t>
  </si>
  <si>
    <t>Tesco Finest freshly pressed/squeezed orange juice. Label partially obscured. Also visible in Chilled section_Fridge1.jpg</t>
  </si>
  <si>
    <t>Pink Lady Apple Juice</t>
  </si>
  <si>
    <t>Pink Lady Apple</t>
  </si>
  <si>
    <t>Cold-Pressed</t>
  </si>
  <si>
    <t>HPP</t>
  </si>
  <si>
    <t>Yes</t>
  </si>
  <si>
    <t>Cold Pressed</t>
  </si>
  <si>
    <t>Price tag reads Tesco Finest Cold Pressed Pink Lady Apple Juice 750ml. Also visible in Chilled section_Fridge1_Second shelf.jpg</t>
  </si>
  <si>
    <t>Peach &amp; White Grape Lemonade</t>
  </si>
  <si>
    <t>Peach &amp; White Grape</t>
  </si>
  <si>
    <t>Label reads Peach &amp; White Grape Still Lemonade. Also visible in Chilled section_Fridge1.jpg</t>
  </si>
  <si>
    <t>Yuzu &amp; Cherry Blossom Still Lemonade</t>
  </si>
  <si>
    <t>Yuzu &amp; Cherry Blossom</t>
  </si>
  <si>
    <t>Label reads Yuzu &amp; Cherry Blossom Still Lemonade</t>
  </si>
  <si>
    <t>Dragon Fruit &amp; Alphonso Mango Still Lemonade</t>
  </si>
  <si>
    <t>Dragon Fruit &amp; Alphonso Mango</t>
  </si>
  <si>
    <t>Pink/red coloured bottle. Label partially readable</t>
  </si>
  <si>
    <t>Blood Orange &amp; Hibiscus Still Lemonade</t>
  </si>
  <si>
    <t>Blood Orange &amp; Hibiscus</t>
  </si>
  <si>
    <t>Far right of top shelf, dark pink/red bottles. Label partially obscured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</si>
</sst>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"/>
  <sheetViews>
    <sheetView tabSelected="1" workbookViewId="0">
      <pane ySplit="1" topLeftCell="A2" activePane="bottomLeft" state="frozen"/>
      <selection pane="bottomLeft" activeCell="W1" sqref="W1"/>
    </sheetView>
  </sheetViews>
  <sheetFormatPr defaultRowHeight="14.4" x14ac:dyDescent="0.3"/>
  <cols>
    <col min="1" max="3" width="16" customWidth="1"/>
    <col min="4" max="5" width="14" customWidth="1"/>
    <col min="6" max="6" width="18" customWidth="1"/>
    <col min="7" max="7" width="20" customWidth="1"/>
    <col min="8" max="9" width="14" customWidth="1"/>
    <col min="10" max="11" width="15" customWidth="1"/>
    <col min="12" max="14" width="20" customWidth="1"/>
    <col min="15" max="15" width="15" customWidth="1"/>
    <col min="16" max="16" width="20" customWidth="1"/>
    <col min="17" max="20" width="15" customWidth="1"/>
    <col min="21" max="23" width="18" customWidth="1"/>
    <col min="24" max="24" width="15" customWidth="1"/>
    <col min="25" max="25" width="25" customWidth="1"/>
    <col min="26" max="26" width="15" customWidth="1"/>
    <col min="27" max="27" width="18" customWidth="1"/>
    <col min="28" max="28" width="14" customWidth="1"/>
    <col min="29" max="29" width="25" customWidth="1"/>
  </cols>
  <sheetData>
    <row r="1" spans="1:2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9.95" customHeight="1" x14ac:dyDescent="0.3">
      <c r="A2" s="2" t="s">
        <v>29</v>
      </c>
      <c r="B2" s="2" t="s">
        <v>30</v>
      </c>
      <c r="C2" s="2" t="s">
        <v>31</v>
      </c>
      <c r="D2" s="2" t="s">
        <v>31</v>
      </c>
      <c r="E2" s="2" t="s">
        <v>32</v>
      </c>
      <c r="F2" s="2" t="s">
        <v>33</v>
      </c>
      <c r="G2" s="2" t="s">
        <v>34</v>
      </c>
      <c r="H2" s="2">
        <v>5</v>
      </c>
      <c r="I2" s="2" t="s">
        <v>35</v>
      </c>
      <c r="J2" s="2" t="s">
        <v>36</v>
      </c>
      <c r="K2" s="2" t="s">
        <v>37</v>
      </c>
      <c r="L2" s="2" t="s">
        <v>38</v>
      </c>
      <c r="M2" s="2"/>
      <c r="N2" s="2" t="s">
        <v>39</v>
      </c>
      <c r="O2" s="2" t="s">
        <v>40</v>
      </c>
      <c r="P2" s="2" t="s">
        <v>41</v>
      </c>
      <c r="Q2" s="2">
        <v>3</v>
      </c>
      <c r="R2" s="3">
        <v>2.1</v>
      </c>
      <c r="S2" s="2">
        <v>1500</v>
      </c>
      <c r="T2" s="3">
        <f t="shared" ref="T2:T29" si="0">IF(AND(R2&lt;&gt;"",S2&lt;&gt;""),ROUND(R2/(S2/1000),2),"")</f>
        <v>1.4</v>
      </c>
      <c r="U2" s="2" t="s">
        <v>42</v>
      </c>
      <c r="V2" s="2" t="s">
        <v>43</v>
      </c>
      <c r="W2" s="2" t="s">
        <v>44</v>
      </c>
      <c r="X2" s="2" t="s">
        <v>45</v>
      </c>
      <c r="Y2" s="2"/>
      <c r="Z2" s="2"/>
      <c r="AA2" s="2" t="s">
        <v>46</v>
      </c>
      <c r="AB2" s="2">
        <v>65</v>
      </c>
      <c r="AC2" s="2" t="s">
        <v>47</v>
      </c>
    </row>
    <row r="3" spans="1:29" ht="19.95" customHeight="1" x14ac:dyDescent="0.3">
      <c r="A3" s="4" t="s">
        <v>29</v>
      </c>
      <c r="B3" s="4" t="s">
        <v>30</v>
      </c>
      <c r="C3" s="4" t="s">
        <v>31</v>
      </c>
      <c r="D3" s="4" t="s">
        <v>31</v>
      </c>
      <c r="E3" s="4" t="s">
        <v>32</v>
      </c>
      <c r="F3" s="4" t="s">
        <v>33</v>
      </c>
      <c r="G3" s="4" t="s">
        <v>34</v>
      </c>
      <c r="H3" s="4">
        <v>5</v>
      </c>
      <c r="I3" s="4" t="s">
        <v>35</v>
      </c>
      <c r="J3" s="4" t="s">
        <v>48</v>
      </c>
      <c r="K3" s="4" t="s">
        <v>37</v>
      </c>
      <c r="L3" s="4" t="s">
        <v>49</v>
      </c>
      <c r="M3" s="4"/>
      <c r="N3" s="4" t="s">
        <v>50</v>
      </c>
      <c r="O3" s="4" t="s">
        <v>51</v>
      </c>
      <c r="P3" s="4" t="s">
        <v>50</v>
      </c>
      <c r="Q3" s="4">
        <v>2</v>
      </c>
      <c r="R3" s="5">
        <v>2.35</v>
      </c>
      <c r="S3" s="4">
        <v>1000</v>
      </c>
      <c r="T3" s="5">
        <f t="shared" si="0"/>
        <v>2.35</v>
      </c>
      <c r="U3" s="4" t="s">
        <v>52</v>
      </c>
      <c r="V3" s="4" t="s">
        <v>48</v>
      </c>
      <c r="W3" s="4"/>
      <c r="X3" s="4"/>
      <c r="Y3" s="4" t="s">
        <v>53</v>
      </c>
      <c r="Z3" s="4"/>
      <c r="AA3" s="4" t="s">
        <v>46</v>
      </c>
      <c r="AB3" s="4">
        <v>70</v>
      </c>
      <c r="AC3" s="4" t="s">
        <v>54</v>
      </c>
    </row>
    <row r="4" spans="1:29" ht="19.95" customHeight="1" x14ac:dyDescent="0.3">
      <c r="A4" s="2" t="s">
        <v>29</v>
      </c>
      <c r="B4" s="2" t="s">
        <v>30</v>
      </c>
      <c r="C4" s="2" t="s">
        <v>31</v>
      </c>
      <c r="D4" s="2" t="s">
        <v>31</v>
      </c>
      <c r="E4" s="2" t="s">
        <v>32</v>
      </c>
      <c r="F4" s="2" t="s">
        <v>33</v>
      </c>
      <c r="G4" s="2" t="s">
        <v>34</v>
      </c>
      <c r="H4" s="2">
        <v>5</v>
      </c>
      <c r="I4" s="2" t="s">
        <v>35</v>
      </c>
      <c r="J4" s="2" t="s">
        <v>48</v>
      </c>
      <c r="K4" s="2" t="s">
        <v>37</v>
      </c>
      <c r="L4" s="2" t="s">
        <v>49</v>
      </c>
      <c r="M4" s="2"/>
      <c r="N4" s="2" t="s">
        <v>55</v>
      </c>
      <c r="O4" s="2" t="s">
        <v>51</v>
      </c>
      <c r="P4" s="2" t="s">
        <v>55</v>
      </c>
      <c r="Q4" s="2">
        <v>1</v>
      </c>
      <c r="R4" s="3">
        <v>2.35</v>
      </c>
      <c r="S4" s="2">
        <v>1000</v>
      </c>
      <c r="T4" s="3">
        <f t="shared" si="0"/>
        <v>2.35</v>
      </c>
      <c r="U4" s="2" t="s">
        <v>52</v>
      </c>
      <c r="V4" s="2" t="s">
        <v>48</v>
      </c>
      <c r="W4" s="2"/>
      <c r="X4" s="2"/>
      <c r="Y4" s="2" t="s">
        <v>56</v>
      </c>
      <c r="Z4" s="2"/>
      <c r="AA4" s="2" t="s">
        <v>46</v>
      </c>
      <c r="AB4" s="2">
        <v>65</v>
      </c>
      <c r="AC4" s="2" t="s">
        <v>57</v>
      </c>
    </row>
    <row r="5" spans="1:29" ht="19.95" customHeight="1" x14ac:dyDescent="0.3">
      <c r="A5" s="4" t="s">
        <v>29</v>
      </c>
      <c r="B5" s="4" t="s">
        <v>30</v>
      </c>
      <c r="C5" s="4" t="s">
        <v>31</v>
      </c>
      <c r="D5" s="4" t="s">
        <v>31</v>
      </c>
      <c r="E5" s="4" t="s">
        <v>32</v>
      </c>
      <c r="F5" s="4" t="s">
        <v>33</v>
      </c>
      <c r="G5" s="4" t="s">
        <v>34</v>
      </c>
      <c r="H5" s="4">
        <v>5</v>
      </c>
      <c r="I5" s="4" t="s">
        <v>58</v>
      </c>
      <c r="J5" s="4" t="s">
        <v>36</v>
      </c>
      <c r="K5" s="4" t="s">
        <v>37</v>
      </c>
      <c r="L5" s="4" t="s">
        <v>38</v>
      </c>
      <c r="M5" s="4"/>
      <c r="N5" s="4" t="s">
        <v>59</v>
      </c>
      <c r="O5" s="4" t="s">
        <v>40</v>
      </c>
      <c r="P5" s="4" t="s">
        <v>41</v>
      </c>
      <c r="Q5" s="4">
        <v>1</v>
      </c>
      <c r="R5" s="5">
        <v>1.45</v>
      </c>
      <c r="S5" s="4">
        <v>1000</v>
      </c>
      <c r="T5" s="5">
        <f t="shared" si="0"/>
        <v>1.45</v>
      </c>
      <c r="U5" s="4" t="s">
        <v>52</v>
      </c>
      <c r="V5" s="4" t="s">
        <v>60</v>
      </c>
      <c r="W5" s="4" t="s">
        <v>44</v>
      </c>
      <c r="X5" s="4" t="s">
        <v>45</v>
      </c>
      <c r="Y5" s="4"/>
      <c r="Z5" s="4"/>
      <c r="AA5" s="4" t="s">
        <v>46</v>
      </c>
      <c r="AB5" s="4">
        <v>55</v>
      </c>
      <c r="AC5" s="4" t="s">
        <v>61</v>
      </c>
    </row>
    <row r="6" spans="1:29" ht="19.95" customHeight="1" x14ac:dyDescent="0.3">
      <c r="A6" s="2" t="s">
        <v>29</v>
      </c>
      <c r="B6" s="2" t="s">
        <v>30</v>
      </c>
      <c r="C6" s="2" t="s">
        <v>31</v>
      </c>
      <c r="D6" s="2" t="s">
        <v>31</v>
      </c>
      <c r="E6" s="2" t="s">
        <v>32</v>
      </c>
      <c r="F6" s="2" t="s">
        <v>33</v>
      </c>
      <c r="G6" s="2" t="s">
        <v>34</v>
      </c>
      <c r="H6" s="2">
        <v>5</v>
      </c>
      <c r="I6" s="2" t="s">
        <v>62</v>
      </c>
      <c r="J6" s="2" t="s">
        <v>36</v>
      </c>
      <c r="K6" s="2" t="s">
        <v>37</v>
      </c>
      <c r="L6" s="2" t="s">
        <v>38</v>
      </c>
      <c r="M6" s="2"/>
      <c r="N6" s="2" t="s">
        <v>63</v>
      </c>
      <c r="O6" s="2" t="s">
        <v>40</v>
      </c>
      <c r="P6" s="2" t="s">
        <v>64</v>
      </c>
      <c r="Q6" s="2">
        <v>1</v>
      </c>
      <c r="R6" s="3">
        <v>2.1</v>
      </c>
      <c r="S6" s="2">
        <v>1000</v>
      </c>
      <c r="T6" s="3">
        <f t="shared" si="0"/>
        <v>2.1</v>
      </c>
      <c r="U6" s="2" t="s">
        <v>42</v>
      </c>
      <c r="V6" s="2" t="s">
        <v>43</v>
      </c>
      <c r="W6" s="2" t="s">
        <v>44</v>
      </c>
      <c r="X6" s="2" t="s">
        <v>45</v>
      </c>
      <c r="Y6" s="2" t="s">
        <v>65</v>
      </c>
      <c r="Z6" s="2"/>
      <c r="AA6" s="2" t="s">
        <v>46</v>
      </c>
      <c r="AB6" s="2">
        <v>55</v>
      </c>
      <c r="AC6" s="2" t="s">
        <v>66</v>
      </c>
    </row>
    <row r="7" spans="1:29" ht="19.95" customHeight="1" x14ac:dyDescent="0.3">
      <c r="A7" s="4" t="s">
        <v>29</v>
      </c>
      <c r="B7" s="4" t="s">
        <v>30</v>
      </c>
      <c r="C7" s="4" t="s">
        <v>31</v>
      </c>
      <c r="D7" s="4" t="s">
        <v>31</v>
      </c>
      <c r="E7" s="4" t="s">
        <v>32</v>
      </c>
      <c r="F7" s="4" t="s">
        <v>33</v>
      </c>
      <c r="G7" s="4" t="s">
        <v>34</v>
      </c>
      <c r="H7" s="4">
        <v>5</v>
      </c>
      <c r="I7" s="4" t="s">
        <v>62</v>
      </c>
      <c r="J7" s="4" t="s">
        <v>36</v>
      </c>
      <c r="K7" s="4" t="s">
        <v>37</v>
      </c>
      <c r="L7" s="4" t="s">
        <v>67</v>
      </c>
      <c r="M7" s="4"/>
      <c r="N7" s="4" t="s">
        <v>68</v>
      </c>
      <c r="O7" s="4" t="s">
        <v>51</v>
      </c>
      <c r="P7" s="4" t="s">
        <v>69</v>
      </c>
      <c r="Q7" s="4">
        <v>1</v>
      </c>
      <c r="R7" s="5">
        <v>4.75</v>
      </c>
      <c r="S7" s="4">
        <v>1500</v>
      </c>
      <c r="T7" s="5">
        <f t="shared" si="0"/>
        <v>3.17</v>
      </c>
      <c r="U7" s="4" t="s">
        <v>42</v>
      </c>
      <c r="V7" s="4" t="s">
        <v>60</v>
      </c>
      <c r="W7" s="4" t="s">
        <v>44</v>
      </c>
      <c r="X7" s="4" t="s">
        <v>45</v>
      </c>
      <c r="Y7" s="4" t="s">
        <v>70</v>
      </c>
      <c r="Z7" s="4" t="s">
        <v>71</v>
      </c>
      <c r="AA7" s="4" t="s">
        <v>46</v>
      </c>
      <c r="AB7" s="4">
        <v>60</v>
      </c>
      <c r="AC7" s="4" t="s">
        <v>72</v>
      </c>
    </row>
    <row r="8" spans="1:29" ht="19.95" customHeight="1" x14ac:dyDescent="0.3">
      <c r="A8" s="2" t="s">
        <v>29</v>
      </c>
      <c r="B8" s="2" t="s">
        <v>30</v>
      </c>
      <c r="C8" s="2" t="s">
        <v>31</v>
      </c>
      <c r="D8" s="2" t="s">
        <v>31</v>
      </c>
      <c r="E8" s="2" t="s">
        <v>32</v>
      </c>
      <c r="F8" s="2" t="s">
        <v>33</v>
      </c>
      <c r="G8" s="2" t="s">
        <v>34</v>
      </c>
      <c r="H8" s="2">
        <v>5</v>
      </c>
      <c r="I8" s="2" t="s">
        <v>73</v>
      </c>
      <c r="J8" s="2" t="s">
        <v>36</v>
      </c>
      <c r="K8" s="2" t="s">
        <v>37</v>
      </c>
      <c r="L8" s="2" t="s">
        <v>38</v>
      </c>
      <c r="M8" s="2"/>
      <c r="N8" s="2" t="s">
        <v>39</v>
      </c>
      <c r="O8" s="2" t="s">
        <v>40</v>
      </c>
      <c r="P8" s="2" t="s">
        <v>41</v>
      </c>
      <c r="Q8" s="2">
        <v>3</v>
      </c>
      <c r="R8" s="3">
        <v>2.1</v>
      </c>
      <c r="S8" s="2">
        <v>1500</v>
      </c>
      <c r="T8" s="3">
        <f t="shared" si="0"/>
        <v>1.4</v>
      </c>
      <c r="U8" s="2" t="s">
        <v>42</v>
      </c>
      <c r="V8" s="2" t="s">
        <v>43</v>
      </c>
      <c r="W8" s="2" t="s">
        <v>44</v>
      </c>
      <c r="X8" s="2" t="s">
        <v>45</v>
      </c>
      <c r="Y8" s="2"/>
      <c r="Z8" s="2"/>
      <c r="AA8" s="2" t="s">
        <v>46</v>
      </c>
      <c r="AB8" s="2">
        <v>60</v>
      </c>
      <c r="AC8" s="2" t="s">
        <v>74</v>
      </c>
    </row>
    <row r="9" spans="1:29" ht="19.95" customHeight="1" x14ac:dyDescent="0.3">
      <c r="A9" s="4" t="s">
        <v>29</v>
      </c>
      <c r="B9" s="4" t="s">
        <v>30</v>
      </c>
      <c r="C9" s="4" t="s">
        <v>31</v>
      </c>
      <c r="D9" s="4" t="s">
        <v>31</v>
      </c>
      <c r="E9" s="4" t="s">
        <v>32</v>
      </c>
      <c r="F9" s="4" t="s">
        <v>75</v>
      </c>
      <c r="G9" s="4" t="s">
        <v>34</v>
      </c>
      <c r="H9" s="4">
        <v>5</v>
      </c>
      <c r="I9" s="4" t="s">
        <v>62</v>
      </c>
      <c r="J9" s="4" t="s">
        <v>36</v>
      </c>
      <c r="K9" s="4" t="s">
        <v>37</v>
      </c>
      <c r="L9" s="4" t="s">
        <v>38</v>
      </c>
      <c r="M9" s="4"/>
      <c r="N9" s="4" t="s">
        <v>59</v>
      </c>
      <c r="O9" s="4" t="s">
        <v>40</v>
      </c>
      <c r="P9" s="4" t="s">
        <v>41</v>
      </c>
      <c r="Q9" s="4">
        <v>2</v>
      </c>
      <c r="R9" s="5">
        <v>2.1</v>
      </c>
      <c r="S9" s="4">
        <v>1000</v>
      </c>
      <c r="T9" s="5">
        <f t="shared" si="0"/>
        <v>2.1</v>
      </c>
      <c r="U9" s="4" t="s">
        <v>42</v>
      </c>
      <c r="V9" s="4" t="s">
        <v>43</v>
      </c>
      <c r="W9" s="4" t="s">
        <v>44</v>
      </c>
      <c r="X9" s="4" t="s">
        <v>45</v>
      </c>
      <c r="Y9" s="4" t="s">
        <v>65</v>
      </c>
      <c r="Z9" s="4"/>
      <c r="AA9" s="4" t="s">
        <v>46</v>
      </c>
      <c r="AB9" s="4">
        <v>75</v>
      </c>
      <c r="AC9" s="4" t="s">
        <v>76</v>
      </c>
    </row>
    <row r="10" spans="1:29" ht="19.95" customHeight="1" x14ac:dyDescent="0.3">
      <c r="A10" s="2" t="s">
        <v>29</v>
      </c>
      <c r="B10" s="2" t="s">
        <v>30</v>
      </c>
      <c r="C10" s="2" t="s">
        <v>31</v>
      </c>
      <c r="D10" s="2" t="s">
        <v>31</v>
      </c>
      <c r="E10" s="2" t="s">
        <v>32</v>
      </c>
      <c r="F10" s="2" t="s">
        <v>75</v>
      </c>
      <c r="G10" s="2" t="s">
        <v>34</v>
      </c>
      <c r="H10" s="2">
        <v>5</v>
      </c>
      <c r="I10" s="2" t="s">
        <v>62</v>
      </c>
      <c r="J10" s="2" t="s">
        <v>36</v>
      </c>
      <c r="K10" s="2" t="s">
        <v>37</v>
      </c>
      <c r="L10" s="2" t="s">
        <v>38</v>
      </c>
      <c r="M10" s="2"/>
      <c r="N10" s="2" t="s">
        <v>77</v>
      </c>
      <c r="O10" s="2" t="s">
        <v>40</v>
      </c>
      <c r="P10" s="2" t="s">
        <v>78</v>
      </c>
      <c r="Q10" s="2">
        <v>1</v>
      </c>
      <c r="R10" s="3">
        <v>2.1</v>
      </c>
      <c r="S10" s="2">
        <v>1000</v>
      </c>
      <c r="T10" s="3">
        <f t="shared" si="0"/>
        <v>2.1</v>
      </c>
      <c r="U10" s="2" t="s">
        <v>42</v>
      </c>
      <c r="V10" s="2" t="s">
        <v>43</v>
      </c>
      <c r="W10" s="2" t="s">
        <v>44</v>
      </c>
      <c r="X10" s="2" t="s">
        <v>45</v>
      </c>
      <c r="Y10" s="2" t="s">
        <v>65</v>
      </c>
      <c r="Z10" s="2"/>
      <c r="AA10" s="2" t="s">
        <v>46</v>
      </c>
      <c r="AB10" s="2">
        <v>65</v>
      </c>
      <c r="AC10" s="2" t="s">
        <v>79</v>
      </c>
    </row>
    <row r="11" spans="1:29" ht="19.95" customHeight="1" x14ac:dyDescent="0.3">
      <c r="A11" s="4" t="s">
        <v>29</v>
      </c>
      <c r="B11" s="4" t="s">
        <v>30</v>
      </c>
      <c r="C11" s="4" t="s">
        <v>31</v>
      </c>
      <c r="D11" s="4" t="s">
        <v>31</v>
      </c>
      <c r="E11" s="4" t="s">
        <v>32</v>
      </c>
      <c r="F11" s="4" t="s">
        <v>75</v>
      </c>
      <c r="G11" s="4" t="s">
        <v>34</v>
      </c>
      <c r="H11" s="4">
        <v>5</v>
      </c>
      <c r="I11" s="4" t="s">
        <v>62</v>
      </c>
      <c r="J11" s="4" t="s">
        <v>36</v>
      </c>
      <c r="K11" s="4" t="s">
        <v>37</v>
      </c>
      <c r="L11" s="4" t="s">
        <v>38</v>
      </c>
      <c r="M11" s="4"/>
      <c r="N11" s="4" t="s">
        <v>80</v>
      </c>
      <c r="O11" s="4" t="s">
        <v>40</v>
      </c>
      <c r="P11" s="4" t="s">
        <v>81</v>
      </c>
      <c r="Q11" s="4">
        <v>1</v>
      </c>
      <c r="R11" s="5">
        <v>2.1</v>
      </c>
      <c r="S11" s="4">
        <v>1000</v>
      </c>
      <c r="T11" s="5">
        <f t="shared" si="0"/>
        <v>2.1</v>
      </c>
      <c r="U11" s="4" t="s">
        <v>42</v>
      </c>
      <c r="V11" s="4" t="s">
        <v>60</v>
      </c>
      <c r="W11" s="4" t="s">
        <v>44</v>
      </c>
      <c r="X11" s="4" t="s">
        <v>45</v>
      </c>
      <c r="Y11" s="4"/>
      <c r="Z11" s="4"/>
      <c r="AA11" s="4" t="s">
        <v>46</v>
      </c>
      <c r="AB11" s="4">
        <v>65</v>
      </c>
      <c r="AC11" s="4" t="s">
        <v>82</v>
      </c>
    </row>
    <row r="12" spans="1:29" ht="19.95" customHeight="1" x14ac:dyDescent="0.3">
      <c r="A12" s="2" t="s">
        <v>29</v>
      </c>
      <c r="B12" s="2" t="s">
        <v>30</v>
      </c>
      <c r="C12" s="2" t="s">
        <v>31</v>
      </c>
      <c r="D12" s="2" t="s">
        <v>31</v>
      </c>
      <c r="E12" s="2" t="s">
        <v>32</v>
      </c>
      <c r="F12" s="2" t="s">
        <v>75</v>
      </c>
      <c r="G12" s="2" t="s">
        <v>34</v>
      </c>
      <c r="H12" s="2">
        <v>5</v>
      </c>
      <c r="I12" s="2" t="s">
        <v>62</v>
      </c>
      <c r="J12" s="2" t="s">
        <v>36</v>
      </c>
      <c r="K12" s="2" t="s">
        <v>37</v>
      </c>
      <c r="L12" s="2" t="s">
        <v>83</v>
      </c>
      <c r="M12" s="2"/>
      <c r="N12" s="2" t="s">
        <v>84</v>
      </c>
      <c r="O12" s="2" t="s">
        <v>51</v>
      </c>
      <c r="P12" s="2" t="s">
        <v>81</v>
      </c>
      <c r="Q12" s="2">
        <v>2</v>
      </c>
      <c r="R12" s="3">
        <v>2.65</v>
      </c>
      <c r="S12" s="2">
        <v>1000</v>
      </c>
      <c r="T12" s="3">
        <f t="shared" si="0"/>
        <v>2.65</v>
      </c>
      <c r="U12" s="2" t="s">
        <v>52</v>
      </c>
      <c r="V12" s="2" t="s">
        <v>60</v>
      </c>
      <c r="W12" s="2" t="s">
        <v>44</v>
      </c>
      <c r="X12" s="2" t="s">
        <v>45</v>
      </c>
      <c r="Y12" s="2" t="s">
        <v>85</v>
      </c>
      <c r="Z12" s="2"/>
      <c r="AA12" s="2" t="s">
        <v>46</v>
      </c>
      <c r="AB12" s="2">
        <v>85</v>
      </c>
      <c r="AC12" s="2" t="s">
        <v>86</v>
      </c>
    </row>
    <row r="13" spans="1:29" ht="19.95" customHeight="1" x14ac:dyDescent="0.3">
      <c r="A13" s="4" t="s">
        <v>29</v>
      </c>
      <c r="B13" s="4" t="s">
        <v>30</v>
      </c>
      <c r="C13" s="4" t="s">
        <v>31</v>
      </c>
      <c r="D13" s="4" t="s">
        <v>31</v>
      </c>
      <c r="E13" s="4" t="s">
        <v>32</v>
      </c>
      <c r="F13" s="4" t="s">
        <v>75</v>
      </c>
      <c r="G13" s="4" t="s">
        <v>34</v>
      </c>
      <c r="H13" s="4">
        <v>5</v>
      </c>
      <c r="I13" s="4" t="s">
        <v>62</v>
      </c>
      <c r="J13" s="4" t="s">
        <v>36</v>
      </c>
      <c r="K13" s="4" t="s">
        <v>37</v>
      </c>
      <c r="L13" s="4" t="s">
        <v>67</v>
      </c>
      <c r="M13" s="4"/>
      <c r="N13" s="4" t="s">
        <v>68</v>
      </c>
      <c r="O13" s="4" t="s">
        <v>51</v>
      </c>
      <c r="P13" s="4" t="s">
        <v>69</v>
      </c>
      <c r="Q13" s="4">
        <v>2</v>
      </c>
      <c r="R13" s="5">
        <v>3</v>
      </c>
      <c r="S13" s="4">
        <v>1000</v>
      </c>
      <c r="T13" s="5">
        <f t="shared" si="0"/>
        <v>3</v>
      </c>
      <c r="U13" s="4" t="s">
        <v>52</v>
      </c>
      <c r="V13" s="4" t="s">
        <v>60</v>
      </c>
      <c r="W13" s="4" t="s">
        <v>44</v>
      </c>
      <c r="X13" s="4" t="s">
        <v>45</v>
      </c>
      <c r="Y13" s="4" t="s">
        <v>70</v>
      </c>
      <c r="Z13" s="4"/>
      <c r="AA13" s="4" t="s">
        <v>46</v>
      </c>
      <c r="AB13" s="4">
        <v>85</v>
      </c>
      <c r="AC13" s="4" t="s">
        <v>87</v>
      </c>
    </row>
    <row r="14" spans="1:29" ht="19.95" customHeight="1" x14ac:dyDescent="0.3">
      <c r="A14" s="2" t="s">
        <v>29</v>
      </c>
      <c r="B14" s="2" t="s">
        <v>30</v>
      </c>
      <c r="C14" s="2" t="s">
        <v>31</v>
      </c>
      <c r="D14" s="2" t="s">
        <v>31</v>
      </c>
      <c r="E14" s="2" t="s">
        <v>32</v>
      </c>
      <c r="F14" s="2" t="s">
        <v>75</v>
      </c>
      <c r="G14" s="2" t="s">
        <v>34</v>
      </c>
      <c r="H14" s="2">
        <v>5</v>
      </c>
      <c r="I14" s="2" t="s">
        <v>62</v>
      </c>
      <c r="J14" s="2" t="s">
        <v>36</v>
      </c>
      <c r="K14" s="2" t="s">
        <v>37</v>
      </c>
      <c r="L14" s="2" t="s">
        <v>38</v>
      </c>
      <c r="M14" s="2"/>
      <c r="N14" s="2" t="s">
        <v>88</v>
      </c>
      <c r="O14" s="2" t="s">
        <v>40</v>
      </c>
      <c r="P14" s="2" t="s">
        <v>89</v>
      </c>
      <c r="Q14" s="2">
        <v>1</v>
      </c>
      <c r="R14" s="3">
        <v>2.1</v>
      </c>
      <c r="S14" s="2">
        <v>1000</v>
      </c>
      <c r="T14" s="3">
        <f t="shared" si="0"/>
        <v>2.1</v>
      </c>
      <c r="U14" s="2" t="s">
        <v>42</v>
      </c>
      <c r="V14" s="2" t="s">
        <v>43</v>
      </c>
      <c r="W14" s="2" t="s">
        <v>44</v>
      </c>
      <c r="X14" s="2" t="s">
        <v>45</v>
      </c>
      <c r="Y14" s="2" t="s">
        <v>65</v>
      </c>
      <c r="Z14" s="2"/>
      <c r="AA14" s="2" t="s">
        <v>46</v>
      </c>
      <c r="AB14" s="2">
        <v>60</v>
      </c>
      <c r="AC14" s="2" t="s">
        <v>90</v>
      </c>
    </row>
    <row r="15" spans="1:29" ht="19.95" customHeight="1" x14ac:dyDescent="0.3">
      <c r="A15" s="4" t="s">
        <v>29</v>
      </c>
      <c r="B15" s="4" t="s">
        <v>30</v>
      </c>
      <c r="C15" s="4" t="s">
        <v>31</v>
      </c>
      <c r="D15" s="4" t="s">
        <v>31</v>
      </c>
      <c r="E15" s="4" t="s">
        <v>32</v>
      </c>
      <c r="F15" s="4" t="s">
        <v>75</v>
      </c>
      <c r="G15" s="4" t="s">
        <v>34</v>
      </c>
      <c r="H15" s="4">
        <v>5</v>
      </c>
      <c r="I15" s="4" t="s">
        <v>73</v>
      </c>
      <c r="J15" s="4" t="s">
        <v>36</v>
      </c>
      <c r="K15" s="4" t="s">
        <v>37</v>
      </c>
      <c r="L15" s="4" t="s">
        <v>38</v>
      </c>
      <c r="M15" s="4"/>
      <c r="N15" s="4" t="s">
        <v>91</v>
      </c>
      <c r="O15" s="4" t="s">
        <v>40</v>
      </c>
      <c r="P15" s="4" t="s">
        <v>92</v>
      </c>
      <c r="Q15" s="4">
        <v>2</v>
      </c>
      <c r="R15" s="5">
        <v>2.1</v>
      </c>
      <c r="S15" s="4">
        <v>1000</v>
      </c>
      <c r="T15" s="5">
        <f t="shared" si="0"/>
        <v>2.1</v>
      </c>
      <c r="U15" s="4" t="s">
        <v>42</v>
      </c>
      <c r="V15" s="4" t="s">
        <v>43</v>
      </c>
      <c r="W15" s="4" t="s">
        <v>44</v>
      </c>
      <c r="X15" s="4" t="s">
        <v>45</v>
      </c>
      <c r="Y15" s="4" t="s">
        <v>65</v>
      </c>
      <c r="Z15" s="4"/>
      <c r="AA15" s="4" t="s">
        <v>46</v>
      </c>
      <c r="AB15" s="4">
        <v>70</v>
      </c>
      <c r="AC15" s="4" t="s">
        <v>93</v>
      </c>
    </row>
    <row r="16" spans="1:29" ht="19.95" customHeight="1" x14ac:dyDescent="0.3">
      <c r="A16" s="2" t="s">
        <v>29</v>
      </c>
      <c r="B16" s="2" t="s">
        <v>30</v>
      </c>
      <c r="C16" s="2" t="s">
        <v>31</v>
      </c>
      <c r="D16" s="2" t="s">
        <v>31</v>
      </c>
      <c r="E16" s="2" t="s">
        <v>32</v>
      </c>
      <c r="F16" s="2" t="s">
        <v>75</v>
      </c>
      <c r="G16" s="2" t="s">
        <v>34</v>
      </c>
      <c r="H16" s="2">
        <v>5</v>
      </c>
      <c r="I16" s="2" t="s">
        <v>73</v>
      </c>
      <c r="J16" s="2" t="s">
        <v>36</v>
      </c>
      <c r="K16" s="2" t="s">
        <v>37</v>
      </c>
      <c r="L16" s="2" t="s">
        <v>38</v>
      </c>
      <c r="M16" s="2"/>
      <c r="N16" s="2" t="s">
        <v>94</v>
      </c>
      <c r="O16" s="2" t="s">
        <v>40</v>
      </c>
      <c r="P16" s="2" t="s">
        <v>95</v>
      </c>
      <c r="Q16" s="2">
        <v>3</v>
      </c>
      <c r="R16" s="3">
        <v>2.1</v>
      </c>
      <c r="S16" s="2">
        <v>1000</v>
      </c>
      <c r="T16" s="3">
        <f t="shared" si="0"/>
        <v>2.1</v>
      </c>
      <c r="U16" s="2" t="s">
        <v>42</v>
      </c>
      <c r="V16" s="2" t="s">
        <v>43</v>
      </c>
      <c r="W16" s="2" t="s">
        <v>44</v>
      </c>
      <c r="X16" s="2" t="s">
        <v>45</v>
      </c>
      <c r="Y16" s="2" t="s">
        <v>65</v>
      </c>
      <c r="Z16" s="2"/>
      <c r="AA16" s="2" t="s">
        <v>46</v>
      </c>
      <c r="AB16" s="2">
        <v>75</v>
      </c>
      <c r="AC16" s="2" t="s">
        <v>96</v>
      </c>
    </row>
    <row r="17" spans="1:29" ht="19.95" customHeight="1" x14ac:dyDescent="0.3">
      <c r="A17" s="4" t="s">
        <v>29</v>
      </c>
      <c r="B17" s="4" t="s">
        <v>30</v>
      </c>
      <c r="C17" s="4" t="s">
        <v>31</v>
      </c>
      <c r="D17" s="4" t="s">
        <v>31</v>
      </c>
      <c r="E17" s="4" t="s">
        <v>32</v>
      </c>
      <c r="F17" s="4" t="s">
        <v>75</v>
      </c>
      <c r="G17" s="4" t="s">
        <v>34</v>
      </c>
      <c r="H17" s="4">
        <v>5</v>
      </c>
      <c r="I17" s="4" t="s">
        <v>73</v>
      </c>
      <c r="J17" s="4" t="s">
        <v>36</v>
      </c>
      <c r="K17" s="4" t="s">
        <v>37</v>
      </c>
      <c r="L17" s="4" t="s">
        <v>38</v>
      </c>
      <c r="M17" s="4"/>
      <c r="N17" s="4" t="s">
        <v>97</v>
      </c>
      <c r="O17" s="4" t="s">
        <v>40</v>
      </c>
      <c r="P17" s="4" t="s">
        <v>98</v>
      </c>
      <c r="Q17" s="4">
        <v>1</v>
      </c>
      <c r="R17" s="5"/>
      <c r="S17" s="4">
        <v>1000</v>
      </c>
      <c r="T17" s="5" t="str">
        <f t="shared" si="0"/>
        <v/>
      </c>
      <c r="U17" s="4" t="s">
        <v>42</v>
      </c>
      <c r="V17" s="4" t="s">
        <v>43</v>
      </c>
      <c r="W17" s="4" t="s">
        <v>44</v>
      </c>
      <c r="X17" s="4" t="s">
        <v>45</v>
      </c>
      <c r="Y17" s="4"/>
      <c r="Z17" s="4"/>
      <c r="AA17" s="4" t="s">
        <v>99</v>
      </c>
      <c r="AB17" s="4">
        <v>50</v>
      </c>
      <c r="AC17" s="4" t="s">
        <v>100</v>
      </c>
    </row>
    <row r="18" spans="1:29" ht="19.95" customHeight="1" x14ac:dyDescent="0.3">
      <c r="A18" s="2" t="s">
        <v>29</v>
      </c>
      <c r="B18" s="2" t="s">
        <v>30</v>
      </c>
      <c r="C18" s="2" t="s">
        <v>31</v>
      </c>
      <c r="D18" s="2" t="s">
        <v>31</v>
      </c>
      <c r="E18" s="2" t="s">
        <v>32</v>
      </c>
      <c r="F18" s="2" t="s">
        <v>75</v>
      </c>
      <c r="G18" s="2" t="s">
        <v>34</v>
      </c>
      <c r="H18" s="2">
        <v>5</v>
      </c>
      <c r="I18" s="2" t="s">
        <v>73</v>
      </c>
      <c r="J18" s="2" t="s">
        <v>36</v>
      </c>
      <c r="K18" s="2" t="s">
        <v>37</v>
      </c>
      <c r="L18" s="2" t="s">
        <v>38</v>
      </c>
      <c r="M18" s="2"/>
      <c r="N18" s="2" t="s">
        <v>101</v>
      </c>
      <c r="O18" s="2" t="s">
        <v>40</v>
      </c>
      <c r="P18" s="2" t="s">
        <v>102</v>
      </c>
      <c r="Q18" s="2">
        <v>2</v>
      </c>
      <c r="R18" s="3">
        <v>2.1</v>
      </c>
      <c r="S18" s="2">
        <v>1000</v>
      </c>
      <c r="T18" s="3">
        <f t="shared" si="0"/>
        <v>2.1</v>
      </c>
      <c r="U18" s="2" t="s">
        <v>42</v>
      </c>
      <c r="V18" s="2" t="s">
        <v>43</v>
      </c>
      <c r="W18" s="2" t="s">
        <v>44</v>
      </c>
      <c r="X18" s="2" t="s">
        <v>45</v>
      </c>
      <c r="Y18" s="2"/>
      <c r="Z18" s="2"/>
      <c r="AA18" s="2" t="s">
        <v>46</v>
      </c>
      <c r="AB18" s="2">
        <v>70</v>
      </c>
      <c r="AC18" s="2" t="s">
        <v>103</v>
      </c>
    </row>
    <row r="19" spans="1:29" ht="19.95" customHeight="1" x14ac:dyDescent="0.3">
      <c r="A19" s="4" t="s">
        <v>29</v>
      </c>
      <c r="B19" s="4" t="s">
        <v>30</v>
      </c>
      <c r="C19" s="4" t="s">
        <v>31</v>
      </c>
      <c r="D19" s="4" t="s">
        <v>31</v>
      </c>
      <c r="E19" s="4" t="s">
        <v>32</v>
      </c>
      <c r="F19" s="4" t="s">
        <v>104</v>
      </c>
      <c r="G19" s="4" t="s">
        <v>34</v>
      </c>
      <c r="H19" s="4">
        <v>5</v>
      </c>
      <c r="I19" s="4" t="s">
        <v>35</v>
      </c>
      <c r="J19" s="4" t="s">
        <v>36</v>
      </c>
      <c r="K19" s="4" t="s">
        <v>37</v>
      </c>
      <c r="L19" s="4" t="s">
        <v>38</v>
      </c>
      <c r="M19" s="4"/>
      <c r="N19" s="4" t="s">
        <v>105</v>
      </c>
      <c r="O19" s="4" t="s">
        <v>40</v>
      </c>
      <c r="P19" s="4" t="s">
        <v>41</v>
      </c>
      <c r="Q19" s="4">
        <v>4</v>
      </c>
      <c r="R19" s="5">
        <v>2.1</v>
      </c>
      <c r="S19" s="4">
        <v>1500</v>
      </c>
      <c r="T19" s="5">
        <f t="shared" si="0"/>
        <v>1.4</v>
      </c>
      <c r="U19" s="4" t="s">
        <v>42</v>
      </c>
      <c r="V19" s="4" t="s">
        <v>43</v>
      </c>
      <c r="W19" s="4" t="s">
        <v>44</v>
      </c>
      <c r="X19" s="4" t="s">
        <v>45</v>
      </c>
      <c r="Y19" s="4"/>
      <c r="Z19" s="4"/>
      <c r="AA19" s="4" t="s">
        <v>46</v>
      </c>
      <c r="AB19" s="4">
        <v>65</v>
      </c>
      <c r="AC19" s="4" t="s">
        <v>106</v>
      </c>
    </row>
    <row r="20" spans="1:29" ht="19.95" customHeight="1" x14ac:dyDescent="0.3">
      <c r="A20" s="2" t="s">
        <v>29</v>
      </c>
      <c r="B20" s="2" t="s">
        <v>30</v>
      </c>
      <c r="C20" s="2" t="s">
        <v>31</v>
      </c>
      <c r="D20" s="2" t="s">
        <v>31</v>
      </c>
      <c r="E20" s="2" t="s">
        <v>32</v>
      </c>
      <c r="F20" s="2" t="s">
        <v>104</v>
      </c>
      <c r="G20" s="2" t="s">
        <v>34</v>
      </c>
      <c r="H20" s="2">
        <v>5</v>
      </c>
      <c r="I20" s="2" t="s">
        <v>58</v>
      </c>
      <c r="J20" s="2" t="s">
        <v>36</v>
      </c>
      <c r="K20" s="2" t="s">
        <v>37</v>
      </c>
      <c r="L20" s="2" t="s">
        <v>107</v>
      </c>
      <c r="M20" s="2"/>
      <c r="N20" s="2" t="s">
        <v>59</v>
      </c>
      <c r="O20" s="2" t="s">
        <v>40</v>
      </c>
      <c r="P20" s="2" t="s">
        <v>41</v>
      </c>
      <c r="Q20" s="2">
        <v>4</v>
      </c>
      <c r="R20" s="3">
        <v>0.99</v>
      </c>
      <c r="S20" s="2">
        <v>1000</v>
      </c>
      <c r="T20" s="3">
        <f t="shared" si="0"/>
        <v>0.99</v>
      </c>
      <c r="U20" s="2" t="s">
        <v>52</v>
      </c>
      <c r="V20" s="2" t="s">
        <v>60</v>
      </c>
      <c r="W20" s="2" t="s">
        <v>44</v>
      </c>
      <c r="X20" s="2" t="s">
        <v>45</v>
      </c>
      <c r="Y20" s="2"/>
      <c r="Z20" s="2" t="s">
        <v>108</v>
      </c>
      <c r="AA20" s="2" t="s">
        <v>46</v>
      </c>
      <c r="AB20" s="2">
        <v>75</v>
      </c>
      <c r="AC20" s="2" t="s">
        <v>109</v>
      </c>
    </row>
    <row r="21" spans="1:29" ht="19.95" customHeight="1" x14ac:dyDescent="0.3">
      <c r="A21" s="4" t="s">
        <v>29</v>
      </c>
      <c r="B21" s="4" t="s">
        <v>30</v>
      </c>
      <c r="C21" s="4" t="s">
        <v>31</v>
      </c>
      <c r="D21" s="4" t="s">
        <v>31</v>
      </c>
      <c r="E21" s="4" t="s">
        <v>32</v>
      </c>
      <c r="F21" s="4" t="s">
        <v>104</v>
      </c>
      <c r="G21" s="4" t="s">
        <v>34</v>
      </c>
      <c r="H21" s="4">
        <v>5</v>
      </c>
      <c r="I21" s="4" t="s">
        <v>58</v>
      </c>
      <c r="J21" s="4" t="s">
        <v>36</v>
      </c>
      <c r="K21" s="4" t="s">
        <v>37</v>
      </c>
      <c r="L21" s="4" t="s">
        <v>107</v>
      </c>
      <c r="M21" s="4"/>
      <c r="N21" s="4" t="s">
        <v>110</v>
      </c>
      <c r="O21" s="4" t="s">
        <v>40</v>
      </c>
      <c r="P21" s="4" t="s">
        <v>111</v>
      </c>
      <c r="Q21" s="4">
        <v>3</v>
      </c>
      <c r="R21" s="5">
        <v>1.95</v>
      </c>
      <c r="S21" s="4">
        <v>1000</v>
      </c>
      <c r="T21" s="5">
        <f t="shared" si="0"/>
        <v>1.95</v>
      </c>
      <c r="U21" s="4" t="s">
        <v>52</v>
      </c>
      <c r="V21" s="4" t="s">
        <v>60</v>
      </c>
      <c r="W21" s="4" t="s">
        <v>44</v>
      </c>
      <c r="X21" s="4" t="s">
        <v>45</v>
      </c>
      <c r="Y21" s="4"/>
      <c r="Z21" s="4" t="s">
        <v>108</v>
      </c>
      <c r="AA21" s="4" t="s">
        <v>46</v>
      </c>
      <c r="AB21" s="4">
        <v>70</v>
      </c>
      <c r="AC21" s="4" t="s">
        <v>112</v>
      </c>
    </row>
    <row r="22" spans="1:29" ht="19.95" customHeight="1" x14ac:dyDescent="0.3">
      <c r="A22" s="2" t="s">
        <v>29</v>
      </c>
      <c r="B22" s="2" t="s">
        <v>30</v>
      </c>
      <c r="C22" s="2" t="s">
        <v>31</v>
      </c>
      <c r="D22" s="2" t="s">
        <v>31</v>
      </c>
      <c r="E22" s="2" t="s">
        <v>32</v>
      </c>
      <c r="F22" s="2" t="s">
        <v>104</v>
      </c>
      <c r="G22" s="2" t="s">
        <v>34</v>
      </c>
      <c r="H22" s="2">
        <v>5</v>
      </c>
      <c r="I22" s="2" t="s">
        <v>58</v>
      </c>
      <c r="J22" s="2" t="s">
        <v>36</v>
      </c>
      <c r="K22" s="2" t="s">
        <v>37</v>
      </c>
      <c r="L22" s="2" t="s">
        <v>38</v>
      </c>
      <c r="M22" s="2"/>
      <c r="N22" s="2" t="s">
        <v>105</v>
      </c>
      <c r="O22" s="2" t="s">
        <v>40</v>
      </c>
      <c r="P22" s="2" t="s">
        <v>41</v>
      </c>
      <c r="Q22" s="2">
        <v>2</v>
      </c>
      <c r="R22" s="3">
        <v>3.25</v>
      </c>
      <c r="S22" s="2">
        <v>1750</v>
      </c>
      <c r="T22" s="3">
        <f t="shared" si="0"/>
        <v>1.86</v>
      </c>
      <c r="U22" s="2" t="s">
        <v>52</v>
      </c>
      <c r="V22" s="2" t="s">
        <v>43</v>
      </c>
      <c r="W22" s="2" t="s">
        <v>44</v>
      </c>
      <c r="X22" s="2" t="s">
        <v>45</v>
      </c>
      <c r="Y22" s="2"/>
      <c r="Z22" s="2"/>
      <c r="AA22" s="2" t="s">
        <v>46</v>
      </c>
      <c r="AB22" s="2">
        <v>65</v>
      </c>
      <c r="AC22" s="2" t="s">
        <v>113</v>
      </c>
    </row>
    <row r="23" spans="1:29" ht="19.95" customHeight="1" x14ac:dyDescent="0.3">
      <c r="A23" s="4" t="s">
        <v>29</v>
      </c>
      <c r="B23" s="4" t="s">
        <v>30</v>
      </c>
      <c r="C23" s="4" t="s">
        <v>31</v>
      </c>
      <c r="D23" s="4" t="s">
        <v>31</v>
      </c>
      <c r="E23" s="4" t="s">
        <v>32</v>
      </c>
      <c r="F23" s="4" t="s">
        <v>104</v>
      </c>
      <c r="G23" s="4" t="s">
        <v>34</v>
      </c>
      <c r="H23" s="4">
        <v>5</v>
      </c>
      <c r="I23" s="4" t="s">
        <v>58</v>
      </c>
      <c r="J23" s="4" t="s">
        <v>36</v>
      </c>
      <c r="K23" s="4" t="s">
        <v>37</v>
      </c>
      <c r="L23" s="4" t="s">
        <v>107</v>
      </c>
      <c r="M23" s="4"/>
      <c r="N23" s="4" t="s">
        <v>114</v>
      </c>
      <c r="O23" s="4" t="s">
        <v>40</v>
      </c>
      <c r="P23" s="4" t="s">
        <v>41</v>
      </c>
      <c r="Q23" s="4">
        <v>2</v>
      </c>
      <c r="R23" s="5">
        <v>2.19</v>
      </c>
      <c r="S23" s="4">
        <v>1500</v>
      </c>
      <c r="T23" s="5">
        <f t="shared" si="0"/>
        <v>1.46</v>
      </c>
      <c r="U23" s="4" t="s">
        <v>52</v>
      </c>
      <c r="V23" s="4" t="s">
        <v>60</v>
      </c>
      <c r="W23" s="4" t="s">
        <v>44</v>
      </c>
      <c r="X23" s="4" t="s">
        <v>45</v>
      </c>
      <c r="Y23" s="4"/>
      <c r="Z23" s="4" t="s">
        <v>108</v>
      </c>
      <c r="AA23" s="4" t="s">
        <v>46</v>
      </c>
      <c r="AB23" s="4">
        <v>60</v>
      </c>
      <c r="AC23" s="4" t="s">
        <v>115</v>
      </c>
    </row>
    <row r="24" spans="1:29" ht="19.95" customHeight="1" x14ac:dyDescent="0.3">
      <c r="A24" s="2" t="s">
        <v>29</v>
      </c>
      <c r="B24" s="2" t="s">
        <v>30</v>
      </c>
      <c r="C24" s="2" t="s">
        <v>31</v>
      </c>
      <c r="D24" s="2" t="s">
        <v>31</v>
      </c>
      <c r="E24" s="2" t="s">
        <v>32</v>
      </c>
      <c r="F24" s="2" t="s">
        <v>116</v>
      </c>
      <c r="G24" s="2" t="s">
        <v>34</v>
      </c>
      <c r="H24" s="2">
        <v>5</v>
      </c>
      <c r="I24" s="2" t="s">
        <v>117</v>
      </c>
      <c r="J24" s="2" t="s">
        <v>36</v>
      </c>
      <c r="K24" s="2" t="s">
        <v>37</v>
      </c>
      <c r="L24" s="2" t="s">
        <v>38</v>
      </c>
      <c r="M24" s="2" t="s">
        <v>118</v>
      </c>
      <c r="N24" s="2" t="s">
        <v>59</v>
      </c>
      <c r="O24" s="2" t="s">
        <v>40</v>
      </c>
      <c r="P24" s="2" t="s">
        <v>41</v>
      </c>
      <c r="Q24" s="2">
        <v>2</v>
      </c>
      <c r="R24" s="3">
        <v>2.9</v>
      </c>
      <c r="S24" s="2">
        <v>750</v>
      </c>
      <c r="T24" s="3">
        <f t="shared" si="0"/>
        <v>3.87</v>
      </c>
      <c r="U24" s="2" t="s">
        <v>42</v>
      </c>
      <c r="V24" s="2" t="s">
        <v>43</v>
      </c>
      <c r="W24" s="2" t="s">
        <v>44</v>
      </c>
      <c r="X24" s="2" t="s">
        <v>45</v>
      </c>
      <c r="Y24" s="2"/>
      <c r="Z24" s="2"/>
      <c r="AA24" s="2" t="s">
        <v>46</v>
      </c>
      <c r="AB24" s="2">
        <v>70</v>
      </c>
      <c r="AC24" s="2" t="s">
        <v>119</v>
      </c>
    </row>
    <row r="25" spans="1:29" ht="19.95" customHeight="1" x14ac:dyDescent="0.3">
      <c r="A25" s="4" t="s">
        <v>29</v>
      </c>
      <c r="B25" s="4" t="s">
        <v>30</v>
      </c>
      <c r="C25" s="4" t="s">
        <v>31</v>
      </c>
      <c r="D25" s="4" t="s">
        <v>31</v>
      </c>
      <c r="E25" s="4" t="s">
        <v>32</v>
      </c>
      <c r="F25" s="4" t="s">
        <v>116</v>
      </c>
      <c r="G25" s="4" t="s">
        <v>34</v>
      </c>
      <c r="H25" s="4">
        <v>5</v>
      </c>
      <c r="I25" s="4" t="s">
        <v>117</v>
      </c>
      <c r="J25" s="4" t="s">
        <v>36</v>
      </c>
      <c r="K25" s="4" t="s">
        <v>37</v>
      </c>
      <c r="L25" s="4" t="s">
        <v>38</v>
      </c>
      <c r="M25" s="4" t="s">
        <v>118</v>
      </c>
      <c r="N25" s="4" t="s">
        <v>120</v>
      </c>
      <c r="O25" s="4" t="s">
        <v>40</v>
      </c>
      <c r="P25" s="4" t="s">
        <v>121</v>
      </c>
      <c r="Q25" s="4">
        <v>2</v>
      </c>
      <c r="R25" s="5">
        <v>2.9</v>
      </c>
      <c r="S25" s="4">
        <v>750</v>
      </c>
      <c r="T25" s="5">
        <f t="shared" si="0"/>
        <v>3.87</v>
      </c>
      <c r="U25" s="4" t="s">
        <v>42</v>
      </c>
      <c r="V25" s="4" t="s">
        <v>122</v>
      </c>
      <c r="W25" s="4" t="s">
        <v>123</v>
      </c>
      <c r="X25" s="4" t="s">
        <v>124</v>
      </c>
      <c r="Y25" s="4" t="s">
        <v>125</v>
      </c>
      <c r="Z25" s="4"/>
      <c r="AA25" s="4" t="s">
        <v>46</v>
      </c>
      <c r="AB25" s="4">
        <v>72</v>
      </c>
      <c r="AC25" s="4" t="s">
        <v>126</v>
      </c>
    </row>
    <row r="26" spans="1:29" ht="19.95" customHeight="1" x14ac:dyDescent="0.3">
      <c r="A26" s="2" t="s">
        <v>29</v>
      </c>
      <c r="B26" s="2" t="s">
        <v>30</v>
      </c>
      <c r="C26" s="2" t="s">
        <v>31</v>
      </c>
      <c r="D26" s="2" t="s">
        <v>31</v>
      </c>
      <c r="E26" s="2" t="s">
        <v>32</v>
      </c>
      <c r="F26" s="2" t="s">
        <v>116</v>
      </c>
      <c r="G26" s="2" t="s">
        <v>34</v>
      </c>
      <c r="H26" s="2">
        <v>5</v>
      </c>
      <c r="I26" s="2" t="s">
        <v>117</v>
      </c>
      <c r="J26" s="2" t="s">
        <v>36</v>
      </c>
      <c r="K26" s="2" t="s">
        <v>37</v>
      </c>
      <c r="L26" s="2" t="s">
        <v>38</v>
      </c>
      <c r="M26" s="2" t="s">
        <v>118</v>
      </c>
      <c r="N26" s="2" t="s">
        <v>127</v>
      </c>
      <c r="O26" s="2" t="s">
        <v>40</v>
      </c>
      <c r="P26" s="2" t="s">
        <v>128</v>
      </c>
      <c r="Q26" s="2">
        <v>1</v>
      </c>
      <c r="R26" s="3">
        <v>2.5</v>
      </c>
      <c r="S26" s="2">
        <v>750</v>
      </c>
      <c r="T26" s="3">
        <f t="shared" si="0"/>
        <v>3.33</v>
      </c>
      <c r="U26" s="2" t="s">
        <v>42</v>
      </c>
      <c r="V26" s="2"/>
      <c r="W26" s="2" t="s">
        <v>44</v>
      </c>
      <c r="X26" s="2" t="s">
        <v>45</v>
      </c>
      <c r="Y26" s="2"/>
      <c r="Z26" s="2"/>
      <c r="AA26" s="2" t="s">
        <v>46</v>
      </c>
      <c r="AB26" s="2">
        <v>65</v>
      </c>
      <c r="AC26" s="2" t="s">
        <v>129</v>
      </c>
    </row>
    <row r="27" spans="1:29" ht="19.95" customHeight="1" x14ac:dyDescent="0.3">
      <c r="A27" s="4" t="s">
        <v>29</v>
      </c>
      <c r="B27" s="4" t="s">
        <v>30</v>
      </c>
      <c r="C27" s="4" t="s">
        <v>31</v>
      </c>
      <c r="D27" s="4" t="s">
        <v>31</v>
      </c>
      <c r="E27" s="4" t="s">
        <v>32</v>
      </c>
      <c r="F27" s="4" t="s">
        <v>116</v>
      </c>
      <c r="G27" s="4" t="s">
        <v>34</v>
      </c>
      <c r="H27" s="4">
        <v>5</v>
      </c>
      <c r="I27" s="4" t="s">
        <v>117</v>
      </c>
      <c r="J27" s="4" t="s">
        <v>48</v>
      </c>
      <c r="K27" s="4" t="s">
        <v>37</v>
      </c>
      <c r="L27" s="4" t="s">
        <v>38</v>
      </c>
      <c r="M27" s="4" t="s">
        <v>118</v>
      </c>
      <c r="N27" s="4" t="s">
        <v>130</v>
      </c>
      <c r="O27" s="4" t="s">
        <v>40</v>
      </c>
      <c r="P27" s="4" t="s">
        <v>131</v>
      </c>
      <c r="Q27" s="4">
        <v>1</v>
      </c>
      <c r="R27" s="5">
        <v>2.5</v>
      </c>
      <c r="S27" s="4">
        <v>750</v>
      </c>
      <c r="T27" s="5">
        <f t="shared" si="0"/>
        <v>3.33</v>
      </c>
      <c r="U27" s="4" t="s">
        <v>42</v>
      </c>
      <c r="V27" s="4"/>
      <c r="W27" s="4" t="s">
        <v>44</v>
      </c>
      <c r="X27" s="4" t="s">
        <v>45</v>
      </c>
      <c r="Y27" s="4"/>
      <c r="Z27" s="4"/>
      <c r="AA27" s="4" t="s">
        <v>46</v>
      </c>
      <c r="AB27" s="4">
        <v>68</v>
      </c>
      <c r="AC27" s="4" t="s">
        <v>132</v>
      </c>
    </row>
    <row r="28" spans="1:29" ht="19.95" customHeight="1" x14ac:dyDescent="0.3">
      <c r="A28" s="2" t="s">
        <v>29</v>
      </c>
      <c r="B28" s="2" t="s">
        <v>30</v>
      </c>
      <c r="C28" s="2" t="s">
        <v>31</v>
      </c>
      <c r="D28" s="2" t="s">
        <v>31</v>
      </c>
      <c r="E28" s="2" t="s">
        <v>32</v>
      </c>
      <c r="F28" s="2" t="s">
        <v>116</v>
      </c>
      <c r="G28" s="2" t="s">
        <v>34</v>
      </c>
      <c r="H28" s="2">
        <v>5</v>
      </c>
      <c r="I28" s="2" t="s">
        <v>117</v>
      </c>
      <c r="J28" s="2" t="s">
        <v>48</v>
      </c>
      <c r="K28" s="2" t="s">
        <v>37</v>
      </c>
      <c r="L28" s="2" t="s">
        <v>38</v>
      </c>
      <c r="M28" s="2" t="s">
        <v>118</v>
      </c>
      <c r="N28" s="2" t="s">
        <v>133</v>
      </c>
      <c r="O28" s="2" t="s">
        <v>40</v>
      </c>
      <c r="P28" s="2" t="s">
        <v>134</v>
      </c>
      <c r="Q28" s="2">
        <v>2</v>
      </c>
      <c r="R28" s="3">
        <v>2.5</v>
      </c>
      <c r="S28" s="2">
        <v>750</v>
      </c>
      <c r="T28" s="3">
        <f t="shared" si="0"/>
        <v>3.33</v>
      </c>
      <c r="U28" s="2" t="s">
        <v>42</v>
      </c>
      <c r="V28" s="2"/>
      <c r="W28" s="2" t="s">
        <v>44</v>
      </c>
      <c r="X28" s="2" t="s">
        <v>45</v>
      </c>
      <c r="Y28" s="2"/>
      <c r="Z28" s="2"/>
      <c r="AA28" s="2" t="s">
        <v>46</v>
      </c>
      <c r="AB28" s="2">
        <v>65</v>
      </c>
      <c r="AC28" s="2" t="s">
        <v>135</v>
      </c>
    </row>
    <row r="29" spans="1:29" ht="19.95" customHeight="1" x14ac:dyDescent="0.3">
      <c r="A29" s="4" t="s">
        <v>29</v>
      </c>
      <c r="B29" s="4" t="s">
        <v>30</v>
      </c>
      <c r="C29" s="4" t="s">
        <v>31</v>
      </c>
      <c r="D29" s="4" t="s">
        <v>31</v>
      </c>
      <c r="E29" s="4" t="s">
        <v>32</v>
      </c>
      <c r="F29" s="4" t="s">
        <v>116</v>
      </c>
      <c r="G29" s="4" t="s">
        <v>34</v>
      </c>
      <c r="H29" s="4">
        <v>5</v>
      </c>
      <c r="I29" s="4" t="s">
        <v>117</v>
      </c>
      <c r="J29" s="4" t="s">
        <v>48</v>
      </c>
      <c r="K29" s="4" t="s">
        <v>37</v>
      </c>
      <c r="L29" s="4" t="s">
        <v>38</v>
      </c>
      <c r="M29" s="4" t="s">
        <v>118</v>
      </c>
      <c r="N29" s="4" t="s">
        <v>136</v>
      </c>
      <c r="O29" s="4" t="s">
        <v>40</v>
      </c>
      <c r="P29" s="4" t="s">
        <v>137</v>
      </c>
      <c r="Q29" s="4">
        <v>2</v>
      </c>
      <c r="R29" s="5">
        <v>2.5</v>
      </c>
      <c r="S29" s="4">
        <v>750</v>
      </c>
      <c r="T29" s="5">
        <f t="shared" si="0"/>
        <v>3.33</v>
      </c>
      <c r="U29" s="4" t="s">
        <v>42</v>
      </c>
      <c r="V29" s="4"/>
      <c r="W29" s="4" t="s">
        <v>44</v>
      </c>
      <c r="X29" s="4" t="s">
        <v>45</v>
      </c>
      <c r="Y29" s="4"/>
      <c r="Z29" s="4"/>
      <c r="AA29" s="4" t="s">
        <v>46</v>
      </c>
      <c r="AB29" s="4">
        <v>60</v>
      </c>
      <c r="AC29" s="4" t="s">
        <v>138</v>
      </c>
    </row>
  </sheetData>
  <conditionalFormatting sqref="AA2:AA29">
    <cfRule type="cellIs" dxfId="3" priority="4" operator="equal">
      <formula>"Out of Stock"</formula>
    </cfRule>
  </conditionalFormatting>
  <conditionalFormatting sqref="AB2:AB29">
    <cfRule type="cellIs" dxfId="2" priority="1" operator="greaterThanOrEqual">
      <formula>75</formula>
    </cfRule>
    <cfRule type="cellIs" dxfId="1" priority="2" operator="between">
      <formula>55</formula>
      <formula>74</formula>
    </cfRule>
    <cfRule type="cellIs" dxfId="0" priority="3" operator="lessThan">
      <formula>55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Jurjen van der Werf</cp:lastModifiedBy>
  <dcterms:created xsi:type="dcterms:W3CDTF">2026-02-16T07:07:47Z</dcterms:created>
  <dcterms:modified xsi:type="dcterms:W3CDTF">2026-02-16T18:44:33Z</dcterms:modified>
</cp:coreProperties>
</file>