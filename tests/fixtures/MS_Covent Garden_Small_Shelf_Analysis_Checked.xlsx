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edenmccallumllp-my.sharepoint.com/personal/maaike_vandulst_edenmccallum_com/Documents/Fruity line retail research/2.3 UK/M&amp;S Food Hall_Covent Garden_Small/Output/"/>
    </mc:Choice>
  </mc:AlternateContent>
  <xr:revisionPtr revIDLastSave="438" documentId="8_{F7D150C4-9DB4-4D3F-8825-623E4D36BFE7}" xr6:coauthVersionLast="47" xr6:coauthVersionMax="47" xr10:uidLastSave="{B18F0104-5538-42C1-94AB-60B0911663CF}"/>
  <bookViews>
    <workbookView minimized="1" xWindow="5510" yWindow="-10020" windowWidth="14400" windowHeight="8170" tabRatio="500" xr2:uid="{00000000-000D-0000-FFFF-FFFF00000000}"/>
  </bookViews>
  <sheets>
    <sheet name="SKU 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85" i="1" l="1"/>
  <c r="O84" i="1"/>
  <c r="O83" i="1"/>
  <c r="O65" i="1"/>
  <c r="O114" i="1"/>
  <c r="O113" i="1"/>
  <c r="O112" i="1"/>
  <c r="O108" i="1"/>
  <c r="O107" i="1"/>
  <c r="O106" i="1"/>
  <c r="O102" i="1"/>
  <c r="O101" i="1"/>
  <c r="O100" i="1"/>
  <c r="O99" i="1"/>
  <c r="O98" i="1"/>
  <c r="O97" i="1"/>
  <c r="O96" i="1"/>
  <c r="O92" i="1"/>
  <c r="O91" i="1"/>
  <c r="O90" i="1"/>
  <c r="O89" i="1"/>
  <c r="O82" i="1"/>
  <c r="O81" i="1"/>
  <c r="O80" i="1"/>
  <c r="O79" i="1"/>
  <c r="O78" i="1"/>
  <c r="O74" i="1"/>
  <c r="O73" i="1"/>
  <c r="O72" i="1"/>
  <c r="O71" i="1"/>
  <c r="O70" i="1"/>
  <c r="O69" i="1"/>
  <c r="O64" i="1"/>
  <c r="O63" i="1"/>
  <c r="O59" i="1"/>
  <c r="O58" i="1"/>
  <c r="O57" i="1"/>
  <c r="O56" i="1"/>
  <c r="O55" i="1"/>
  <c r="O54" i="1"/>
  <c r="O50" i="1"/>
  <c r="O49" i="1"/>
  <c r="O48" i="1"/>
  <c r="O47" i="1"/>
  <c r="O46" i="1"/>
  <c r="O45" i="1"/>
  <c r="O44" i="1"/>
  <c r="O40" i="1"/>
  <c r="O39" i="1"/>
  <c r="O36" i="1"/>
  <c r="O35" i="1"/>
  <c r="O34" i="1"/>
  <c r="O33" i="1"/>
  <c r="O32" i="1"/>
  <c r="O31" i="1"/>
  <c r="O30" i="1"/>
  <c r="O26" i="1"/>
  <c r="O25" i="1"/>
  <c r="O24" i="1"/>
  <c r="O23" i="1"/>
  <c r="O22" i="1"/>
  <c r="O21" i="1"/>
  <c r="O20" i="1"/>
  <c r="O16" i="1"/>
  <c r="O15" i="1"/>
  <c r="O14" i="1"/>
  <c r="O13" i="1"/>
  <c r="O12" i="1"/>
  <c r="O11" i="1"/>
  <c r="O10" i="1"/>
  <c r="O6" i="1"/>
  <c r="O5" i="1"/>
  <c r="O4" i="1"/>
  <c r="O3" i="1"/>
</calcChain>
</file>

<file path=xl/sharedStrings.xml><?xml version="1.0" encoding="utf-8"?>
<sst xmlns="http://schemas.openxmlformats.org/spreadsheetml/2006/main" count="1455" uniqueCount="276">
  <si>
    <t>To-Go Section — Nutrient Dense Shots  |  Photo: To_go_shots.jpg  |  Est. Linear Meters: 1.2  |  Shelf Levels: 1</t>
  </si>
  <si>
    <t>Photo</t>
  </si>
  <si>
    <t>Shelf Location</t>
  </si>
  <si>
    <t>Est. Linear Meters</t>
  </si>
  <si>
    <t>Shelf Levels</t>
  </si>
  <si>
    <t>Shelf Level</t>
  </si>
  <si>
    <t>Segment</t>
  </si>
  <si>
    <t>Sub-segment</t>
  </si>
  <si>
    <t>Brand</t>
  </si>
  <si>
    <t>Sub-brand</t>
  </si>
  <si>
    <t>Branded / Private Label</t>
  </si>
  <si>
    <t>Flavor</t>
  </si>
  <si>
    <t>Facings</t>
  </si>
  <si>
    <t>Price (GBP)</t>
  </si>
  <si>
    <t>Packaging Size (ml)</t>
  </si>
  <si>
    <t>Price per Liter (GBP)</t>
  </si>
  <si>
    <t>Packaging Type</t>
  </si>
  <si>
    <t>Processing Method</t>
  </si>
  <si>
    <t>HPP Treatment</t>
  </si>
  <si>
    <t>Claims</t>
  </si>
  <si>
    <t>Bonus</t>
  </si>
  <si>
    <t>Stock Status</t>
  </si>
  <si>
    <t>Confidence Score</t>
  </si>
  <si>
    <t>Notes</t>
  </si>
  <si>
    <t>To_go_shots.jpg</t>
  </si>
  <si>
    <t>To-Go Section</t>
  </si>
  <si>
    <t>1st</t>
  </si>
  <si>
    <t>Shots</t>
  </si>
  <si>
    <t>Functional</t>
  </si>
  <si>
    <t>M&amp;S</t>
  </si>
  <si>
    <t>Cold Pressed</t>
  </si>
  <si>
    <t>Private Label</t>
  </si>
  <si>
    <t>Lion's Mane</t>
  </si>
  <si>
    <t>PET bottle</t>
  </si>
  <si>
    <t>Cold-pressed</t>
  </si>
  <si>
    <t>Unknown</t>
  </si>
  <si>
    <t>Lion's Mane, Matcha, Ginseng, Kew verified</t>
  </si>
  <si>
    <t>In Stock</t>
  </si>
  <si>
    <t>80%</t>
  </si>
  <si>
    <t>Apple, Ginger &amp; Lime, Matcha &amp; Ginseng with Lion's Mane. Also visible in To_go_juices_pt2.jpg</t>
  </si>
  <si>
    <t>Nutrient Dense</t>
  </si>
  <si>
    <t>Collagen Shot</t>
  </si>
  <si>
    <t>Collagen, NEW, Kew verified</t>
  </si>
  <si>
    <t>Out of Stock</t>
  </si>
  <si>
    <t>Price label visible but no product on shelf. NEW label.</t>
  </si>
  <si>
    <t>H5O</t>
  </si>
  <si>
    <t>Coconut water, ginger, botanicals &amp; sea moss, Kew verified, NEW</t>
  </si>
  <si>
    <t>90%</t>
  </si>
  <si>
    <t>Coconut water, ginger, botanicals &amp; sea moss</t>
  </si>
  <si>
    <t>Sea Moss Shot</t>
  </si>
  <si>
    <t>Sea Moss, Kew verified</t>
  </si>
  <si>
    <t>Orange/brown colored shot</t>
  </si>
  <si>
    <t>To-Go Section — Shots &amp; Small Juices  |  Photo: To_go_juices_pt2.jpg  |  Est. Linear Meters: 1.5  |  Shelf Levels: 6</t>
  </si>
  <si>
    <t>To_go_juices_pt2.jpg</t>
  </si>
  <si>
    <t>2nd</t>
  </si>
  <si>
    <t>Hot Shot</t>
  </si>
  <si>
    <t>Orange, Ginger, Lemon &amp; Cayenne</t>
  </si>
  <si>
    <t>Also visible in overview</t>
  </si>
  <si>
    <t>Ginger Defence</t>
  </si>
  <si>
    <t>Apple &amp; Ginger with Vitamin C</t>
  </si>
  <si>
    <t>Single shot bottle, price tag says Ginger Defence Shot 100ml</t>
  </si>
  <si>
    <t>Pure Juices</t>
  </si>
  <si>
    <t>Indulgence</t>
  </si>
  <si>
    <t>Collection</t>
  </si>
  <si>
    <t>Freshly Squeezed Orange Juice Smooth</t>
  </si>
  <si>
    <t>Freshly Squeezed</t>
  </si>
  <si>
    <t>M&amp;S Collection branding. £6.00 per litre</t>
  </si>
  <si>
    <t>Freshly Squeezed Orange Juice With Bits</t>
  </si>
  <si>
    <t>M&amp;S Collection branding</t>
  </si>
  <si>
    <t>3rd</t>
  </si>
  <si>
    <t>Other</t>
  </si>
  <si>
    <t>Still Raspberry Lemonade</t>
  </si>
  <si>
    <t>£5.57 per litre</t>
  </si>
  <si>
    <t>Still Ginger Lemonade</t>
  </si>
  <si>
    <t>Punishment Juice</t>
  </si>
  <si>
    <t>Branded</t>
  </si>
  <si>
    <t>Cold Pressed, Spirulina, Chlorella, All your greens in one drink</t>
  </si>
  <si>
    <t>85%</t>
  </si>
  <si>
    <t>Dark green juice. £9.60 per litre</t>
  </si>
  <si>
    <t>To-Go Section — Gut Shots &amp; Collection Juices  |  Photo: To_go_small_juices.jpg  |  Est. Linear Meters: 1.5  |  Shelf Levels: 6</t>
  </si>
  <si>
    <t>To_go_small_juices.jpg</t>
  </si>
  <si>
    <t>Biomel</t>
  </si>
  <si>
    <t>Belgian Chocolate</t>
  </si>
  <si>
    <t>Dairy free probiotic, digestive and immune health</t>
  </si>
  <si>
    <t>Biomel Love Your Gut. Dark chocolate colored bottles</t>
  </si>
  <si>
    <t>High Protein Shot</t>
  </si>
  <si>
    <t>High Protein, NEW</t>
  </si>
  <si>
    <t>Price label visible (yellow NEW), no product. £21.00 per litre</t>
  </si>
  <si>
    <t>Good Gut</t>
  </si>
  <si>
    <t>Gut Shot</t>
  </si>
  <si>
    <t>Gut health</t>
  </si>
  <si>
    <t>£14.00 per litre</t>
  </si>
  <si>
    <t>Gut Shot Berry Kefir</t>
  </si>
  <si>
    <t>Berry Kefir, Gut health, NEW</t>
  </si>
  <si>
    <t>£14.00 per litre. NEW label</t>
  </si>
  <si>
    <t>Freshly Squeezed OJ &amp; Crushed Alphonso Mango</t>
  </si>
  <si>
    <t>M&amp;S Collection. £6.00 per litre</t>
  </si>
  <si>
    <t>Pressed Pink Lady Apple Juice</t>
  </si>
  <si>
    <t>Pressed</t>
  </si>
  <si>
    <t>Freshly Squeezed Still Lemonade</t>
  </si>
  <si>
    <t>To-Go Section — Functional Smoothies &amp; Iced Tea  |  Photo: To_go_functional_smoothies.jpg  |  Est. Linear Meters: 1.5  |  Shelf Levels: 6</t>
  </si>
  <si>
    <t>To_go_functional_smoothies.jpg</t>
  </si>
  <si>
    <t>Smoothies</t>
  </si>
  <si>
    <t>Pineapple, Banana &amp; Coconut</t>
  </si>
  <si>
    <t>Vitamin C, D and E</t>
  </si>
  <si>
    <t>Partially visible on left edge. Also in To_go_small_smoothies</t>
  </si>
  <si>
    <t>Breakfast Smoothie</t>
  </si>
  <si>
    <t>Price tag: Breakfast Smoothie 250ml. £10.60 per litre</t>
  </si>
  <si>
    <t>Brain Food</t>
  </si>
  <si>
    <t>Supporting brain health, Super Smoothie</t>
  </si>
  <si>
    <t>Green colored. Banana, Mango, Guava &amp; Coconut. £7.57 per litre</t>
  </si>
  <si>
    <t>Smoothies to the Rescue</t>
  </si>
  <si>
    <t>Revitalise</t>
  </si>
  <si>
    <t>Red/pink colored. Smoothies to the Rescue range. £7.57 per litre</t>
  </si>
  <si>
    <t>Banana, Mango, Coconut &amp; Matcha, Super Smoothie, Defend</t>
  </si>
  <si>
    <t>Green colored. Smoothies to the Rescue range. £7.57 per litre</t>
  </si>
  <si>
    <t>4th</t>
  </si>
  <si>
    <t>Peach Iced Tea</t>
  </si>
  <si>
    <t>£4.00 per litre</t>
  </si>
  <si>
    <t>Summer Berry Sparkling Water</t>
  </si>
  <si>
    <t>£2.90 per litre</t>
  </si>
  <si>
    <t>Lemon Iced Tea</t>
  </si>
  <si>
    <t>Lemon imagery. £4.00 per litre</t>
  </si>
  <si>
    <t>Blood Orange Sparkling Water</t>
  </si>
  <si>
    <t>75%</t>
  </si>
  <si>
    <t>Partially visible on right edge</t>
  </si>
  <si>
    <t>To-Go Section — Standard Smoothies &amp; Water  |  Photo: To_go_small_smoothies.jpg  |  Est. Linear Meters: 1.5  |  Shelf Levels: 6</t>
  </si>
  <si>
    <t>To_go_small_smoothies.jpg</t>
  </si>
  <si>
    <t>Mango, Pineapple &amp; Passion Fruit</t>
  </si>
  <si>
    <t>1 of your 5 a day</t>
  </si>
  <si>
    <t>£6.00 per litre</t>
  </si>
  <si>
    <t>Very Berry</t>
  </si>
  <si>
    <t>1 of your 5 a day, blended with apple &amp; banana</t>
  </si>
  <si>
    <t>Also called Superberry on price tag. £6.00 per litre</t>
  </si>
  <si>
    <t>Strawberry &amp; Banana</t>
  </si>
  <si>
    <t>1 of your 5 a day, blended with apple</t>
  </si>
  <si>
    <t>5th</t>
  </si>
  <si>
    <t>Coconut Water</t>
  </si>
  <si>
    <t>£5.30 per litre</t>
  </si>
  <si>
    <t>Hydrating Vitamin Water Pineapple &amp; Passion Fruit</t>
  </si>
  <si>
    <t>Electrolytes, Magnesium &amp; Zinc, Hydrating</t>
  </si>
  <si>
    <t>£3.90 per litre</t>
  </si>
  <si>
    <t>Hydrating Vitamin Water Pomegranate &amp; Raspberry</t>
  </si>
  <si>
    <t>Electrolytes, Calcium, Hydrating</t>
  </si>
  <si>
    <t>70%</t>
  </si>
  <si>
    <t>Partially visible on right edge. Price tag reads Blossom Iced Tea 500ml</t>
  </si>
  <si>
    <t>To-Go Section — Top Shelf RTD Coffee  |  Photo: To_go_overview.jpg  |  Est. Linear Meters: 1.5  |  Shelf Levels: 6</t>
  </si>
  <si>
    <t>To_go_overview.jpg</t>
  </si>
  <si>
    <t>Mocha Cold Brew Coffee</t>
  </si>
  <si>
    <t>100% Arabica Beans</t>
  </si>
  <si>
    <t>Visible in overview. Delicatessen brand 'Mocci' visible too</t>
  </si>
  <si>
    <t>Cocoa Coffee</t>
  </si>
  <si>
    <t>65%</t>
  </si>
  <si>
    <t>Visible in overview next to Mocha</t>
  </si>
  <si>
    <t>Tiramisu Latte</t>
  </si>
  <si>
    <t>Can</t>
  </si>
  <si>
    <t>60%</t>
  </si>
  <si>
    <t>Can format, partially visible in overview</t>
  </si>
  <si>
    <t>Classic Latte</t>
  </si>
  <si>
    <t>100%</t>
  </si>
  <si>
    <t>Can format. Price from overview, partially visible</t>
  </si>
  <si>
    <t>Oat Latte</t>
  </si>
  <si>
    <t>100% Oat</t>
  </si>
  <si>
    <t>Can format</t>
  </si>
  <si>
    <t>Caramel Latte</t>
  </si>
  <si>
    <t>Can format, right edge of overview</t>
  </si>
  <si>
    <t>Chilled Section — Shot Multipacks  |  Photo: Shot_Multipack.jpg  |  Est. Linear Meters: 1.0  |  Shelf Levels: 6</t>
  </si>
  <si>
    <t>Shot_Multipack.jpg</t>
  </si>
  <si>
    <t>Chilled Section</t>
  </si>
  <si>
    <t>Digest Shot Multipack</t>
  </si>
  <si>
    <t>Mango, Coconut Milk, Pineapple, Turmeric, High Fibre &amp; Live Cultures, eat well</t>
  </si>
  <si>
    <t>3 x 100ml multipack. £13.33 per litre</t>
  </si>
  <si>
    <t>Hot Shot Multipack</t>
  </si>
  <si>
    <t>Orange, Ginger, Lemon &amp; Cayenne, Cold Pressed, eat well</t>
  </si>
  <si>
    <t>Ginger Defence (single)</t>
  </si>
  <si>
    <t>Apple &amp; Ginger with Vitamin C, Cold Pressed, eat well</t>
  </si>
  <si>
    <t>Individual bottles also sold as singles. Large shelf presence</t>
  </si>
  <si>
    <t>Chilled Section — Dosing Bottles &amp; 750ml Smoothies  |  Photo: Smoothies.jpg  |  Est. Linear Meters: 1.2  |  Shelf Levels: 6</t>
  </si>
  <si>
    <t>Smoothies.jpg</t>
  </si>
  <si>
    <t>Lion's Mane Dosing Bottle</t>
  </si>
  <si>
    <t>Apple, Ginger &amp; Lime, Matcha &amp; Ginseng with Lion's Mane, Kew verified, X5 doses, NEW</t>
  </si>
  <si>
    <t>Dosing bottle = 5 x 100ml doses. £9.50 per litre</t>
  </si>
  <si>
    <t>Ginger Defence Dosing Bottle</t>
  </si>
  <si>
    <t>Apple &amp; Ginger with Vitamin C, X5 doses</t>
  </si>
  <si>
    <t>Dosing bottle = 5 x 100ml doses. £8.50 per litre</t>
  </si>
  <si>
    <t>Very Berry (750ml)</t>
  </si>
  <si>
    <t>750ml format. £2.80 per litre</t>
  </si>
  <si>
    <t>Mango Pineapple &amp; Passion Fruit (750ml)</t>
  </si>
  <si>
    <t>Strawberry &amp; Banana (750ml)</t>
  </si>
  <si>
    <t>750ml format. £2.93 per litre</t>
  </si>
  <si>
    <t>Pineapple, Banana &amp; Coconut (750ml)</t>
  </si>
  <si>
    <t>Still Ginger Lemonade (750ml)</t>
  </si>
  <si>
    <t>750ml format</t>
  </si>
  <si>
    <t>Still Raspberry Lemonade (750ml)</t>
  </si>
  <si>
    <t>Coconut Water (750ml)</t>
  </si>
  <si>
    <t>Never From Concentrate, No Added Sugar</t>
  </si>
  <si>
    <t>Also visible in Bottom_2_rows_Deep_diver.jpg</t>
  </si>
  <si>
    <t>Pineapple &amp; Coconut Pina Colada Mocktail</t>
  </si>
  <si>
    <t>Alcohol Free Mocktail</t>
  </si>
  <si>
    <t>6th</t>
  </si>
  <si>
    <t>Hydrating Vitamin Water Pomegranate &amp; Raspberry (750ml)</t>
  </si>
  <si>
    <t>Electrolytes, Hydrating</t>
  </si>
  <si>
    <t>Visible in overview bottom shelf</t>
  </si>
  <si>
    <t>Chilled Section — Collection Premium Juices 1L  |  Photo: Top_row_juices.jpg  |  Est. Linear Meters: 2.0  |  Shelf Levels: 5</t>
  </si>
  <si>
    <t>Top_row_juices.jpg</t>
  </si>
  <si>
    <t>Chilled Section - Juices</t>
  </si>
  <si>
    <t>Freshly Squeezed Orange Juice With Bits (1L)</t>
  </si>
  <si>
    <t>Freshly Squeezed, Best of season, 14 oranges per bottle</t>
  </si>
  <si>
    <t>£3.70 per litre. Collection branding</t>
  </si>
  <si>
    <t>Freshly Squeezed Orange Juice Smooth (1L)</t>
  </si>
  <si>
    <t>Freshly Squeezed, Best of season, 10 oranges per bottle</t>
  </si>
  <si>
    <t>Pressed Pink Lady Apple Juice (1L)</t>
  </si>
  <si>
    <t>Pressed, Pink Lady, Best of season</t>
  </si>
  <si>
    <t>Freshly Squeezed Still Lemonade (1L)</t>
  </si>
  <si>
    <t>Freshly Squeezed, Best of season, 14 lemons per bottle</t>
  </si>
  <si>
    <t>Chilled Section — Standard Juices 1L (Tetra Pak)  |  Photo: Second_rows_juices.jpg  |  Est. Linear Meters: 2.0  |  Shelf Levels: 5</t>
  </si>
  <si>
    <t>Second_rows_juices.jpg</t>
  </si>
  <si>
    <t>Pure Squeezed Smooth Orange Juice (1L)</t>
  </si>
  <si>
    <t>Tetra Pak</t>
  </si>
  <si>
    <t>Pure Squeezed</t>
  </si>
  <si>
    <t>Never From Concentrate, High in Vitamin C, eat well</t>
  </si>
  <si>
    <t>£2.50 per litre</t>
  </si>
  <si>
    <t>Pure Squeezed Orange Juice with Juicy Bits (1L)</t>
  </si>
  <si>
    <t>Pressed Cloudy Apple Juice (1L)</t>
  </si>
  <si>
    <t>High in Vitamin C, eat well</t>
  </si>
  <si>
    <t>Pressed Apple &amp; Mango Juice (1L)</t>
  </si>
  <si>
    <t>Pressed Apple Juice with Elderflower (1L)</t>
  </si>
  <si>
    <t>Never From Concentrate, High in Vitamin C, Vitamin C</t>
  </si>
  <si>
    <t>Pressed Pineapple Juice with Lime (1L)</t>
  </si>
  <si>
    <t>Red Grape, Pomegranate &amp; Blackcurrant Juice (1L)</t>
  </si>
  <si>
    <t>Never From Concentrate, Source of Vitamin C</t>
  </si>
  <si>
    <t>Chilled Section — Bottom Rows &amp; Large Formats  |  Photo: Bottom_row_juices.jpg  |  Est. Linear Meters: 2.0  |  Shelf Levels: 5</t>
  </si>
  <si>
    <t>Bottom_row_juices.jpg</t>
  </si>
  <si>
    <t>Pressed Strawberry &amp; Dragon Fruit Juice with Apple (1L)</t>
  </si>
  <si>
    <t>No Added Sugar Cranberry Juice Drink (1L)</t>
  </si>
  <si>
    <t>No Added Sugar, From Concentrate</t>
  </si>
  <si>
    <t>£2.40 per litre</t>
  </si>
  <si>
    <t>Pure Squeezed Smooth Orange Juice (1.75L)</t>
  </si>
  <si>
    <t>Never From Concentrate, High in Vitamin C, Bigger Pack Better Value</t>
  </si>
  <si>
    <t>Bigger Pack Better Value</t>
  </si>
  <si>
    <t>£2.11 per litre</t>
  </si>
  <si>
    <t>Chilled Section — Organic &amp; Filtered (Far Right)  |  Photo: Juices.jpg  |  Est. Linear Meters: 2.0  |  Shelf Levels: 5</t>
  </si>
  <si>
    <t>Juices.jpg</t>
  </si>
  <si>
    <t>Organic</t>
  </si>
  <si>
    <t>Organic Semi-Skimmed Milk</t>
  </si>
  <si>
    <t>Pasteurized</t>
  </si>
  <si>
    <t>Visible on far right of overview. Partially obscured</t>
  </si>
  <si>
    <t>Organic Skimmed Milk</t>
  </si>
  <si>
    <t>Visible on far right of overview</t>
  </si>
  <si>
    <t>Filtered Smooth Orange Juice</t>
  </si>
  <si>
    <t>Filtered</t>
  </si>
  <si>
    <t>Visible bottom right of Juices overview</t>
  </si>
  <si>
    <t>Super Smoothie, Banana, Apple, Guava &amp; Coconut</t>
  </si>
  <si>
    <t>Revitalise: Banana, Cherry, Strawberry &amp; Oat super smoothie</t>
  </si>
  <si>
    <t>Defend: Banana, Mango, Coconut &amp; Matcha super smoothie</t>
  </si>
  <si>
    <t>Lemon &amp; Lime Sparkling Water</t>
  </si>
  <si>
    <t>2.90</t>
  </si>
  <si>
    <t>Eat well</t>
  </si>
  <si>
    <t>Freshly Squeezed, 3 oranges per bottle</t>
  </si>
  <si>
    <t>Pressed, 3 Pink Lady apples per bottle</t>
  </si>
  <si>
    <t>Freshly Squeezed, 0.5 lemons per bottle</t>
  </si>
  <si>
    <t xml:space="preserve">"Never from concentrate" </t>
  </si>
  <si>
    <t>Passion Fruit &amp; Orange Blossom</t>
  </si>
  <si>
    <t>No added sugar</t>
  </si>
  <si>
    <t>Chilled Section — Additional Items (Overview)  |  Photo: Bottom_2_rows_Deep_diver.jpg  |  Est. Linear Meters: 1.2  |  Shelf Levels: 6</t>
  </si>
  <si>
    <t>Bottom_2_rows_Deep_diver.jpg</t>
  </si>
  <si>
    <t>7th</t>
  </si>
  <si>
    <t>Fresh juice, no added sugar or sweetener</t>
  </si>
  <si>
    <t>8th</t>
  </si>
  <si>
    <t>9th</t>
  </si>
  <si>
    <t>Indulgent</t>
  </si>
  <si>
    <t>Roast &amp; Ritual</t>
  </si>
  <si>
    <t>Cold brew coffee</t>
  </si>
  <si>
    <t>Freshly squeezed</t>
  </si>
  <si>
    <t>From concentrate</t>
  </si>
  <si>
    <t>Pure squeezed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</si>
</sst>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£#,##0.00"/>
  </numFmts>
  <fonts count="6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  <font>
      <sz val="9"/>
      <name val="Arial"/>
      <charset val="1"/>
    </font>
    <font>
      <sz val="8"/>
      <name val="Calibri"/>
      <family val="2"/>
      <charset val="1"/>
    </font>
    <font>
      <b/>
      <sz val="11"/>
      <color rgb="FFFFFF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496"/>
        <bgColor rgb="FF1F3864"/>
      </patternFill>
    </fill>
    <fill>
      <patternFill patternType="solid">
        <fgColor rgb="FFC6EFCE"/>
        <bgColor rgb="FFD9D9D9"/>
      </patternFill>
    </fill>
    <fill>
      <patternFill patternType="solid">
        <fgColor rgb="FFFFC7CE"/>
        <bgColor rgb="FFD9D9D9"/>
      </patternFill>
    </fill>
    <fill>
      <patternFill patternType="solid">
        <fgColor rgb="FFF2F2F2"/>
        <bgColor rgb="FFFFFFFF"/>
      </patternFill>
    </fill>
    <fill>
      <patternFill patternType="solid">
        <fgColor rgb="FFFFEB9C"/>
        <b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164" fontId="3" fillId="0" borderId="1" xfId="0" applyNumberFormat="1" applyFont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164" fontId="3" fillId="5" borderId="1" xfId="0" applyNumberFormat="1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164" fontId="3" fillId="6" borderId="1" xfId="0" applyNumberFormat="1" applyFont="1" applyFill="1" applyBorder="1" applyAlignment="1">
      <alignment vertical="top" wrapText="1"/>
    </xf>
    <xf numFmtId="0" fontId="3" fillId="7" borderId="1" xfId="0" applyFont="1" applyFill="1" applyBorder="1" applyAlignment="1">
      <alignment vertical="top" wrapText="1"/>
    </xf>
    <xf numFmtId="0" fontId="3" fillId="7" borderId="0" xfId="0" applyFont="1" applyFill="1" applyAlignment="1">
      <alignment vertical="top" wrapText="1"/>
    </xf>
    <xf numFmtId="0" fontId="1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15"/>
  <sheetViews>
    <sheetView tabSelected="1" topLeftCell="A32" zoomScale="70" zoomScaleNormal="70" workbookViewId="0">
      <selection activeCell="W85" sqref="W85"/>
    </sheetView>
  </sheetViews>
  <sheetFormatPr defaultColWidth="8.7265625" defaultRowHeight="14.5" outlineLevelRow="1" x14ac:dyDescent="0.35"/>
  <cols>
    <col min="1" max="1" width="14" customWidth="1"/>
    <col min="2" max="2" width="16" customWidth="1"/>
    <col min="3" max="5" width="10" customWidth="1"/>
    <col min="6" max="6" width="14" customWidth="1"/>
    <col min="7" max="9" width="12" customWidth="1"/>
    <col min="10" max="10" width="10" customWidth="1"/>
    <col min="11" max="11" width="22" customWidth="1"/>
    <col min="12" max="12" width="8" customWidth="1"/>
    <col min="13" max="15" width="10" customWidth="1"/>
    <col min="16" max="17" width="12" customWidth="1"/>
    <col min="18" max="18" width="10" customWidth="1"/>
    <col min="19" max="19" width="28" customWidth="1"/>
    <col min="20" max="20" width="14" customWidth="1"/>
    <col min="21" max="22" width="10" customWidth="1"/>
    <col min="23" max="23" width="30" customWidth="1"/>
    <col min="25" max="25" width="12.7265625" bestFit="1" customWidth="1"/>
  </cols>
  <sheetData>
    <row r="1" spans="1:23" ht="21.75" customHeight="1" x14ac:dyDescent="0.3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</row>
    <row r="2" spans="1:23" ht="30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</row>
    <row r="3" spans="1:23" ht="39.75" customHeight="1" x14ac:dyDescent="0.35">
      <c r="A3" s="2" t="s">
        <v>24</v>
      </c>
      <c r="B3" s="2" t="s">
        <v>25</v>
      </c>
      <c r="C3" s="2">
        <v>1.2</v>
      </c>
      <c r="D3" s="2">
        <v>1</v>
      </c>
      <c r="E3" s="2" t="s">
        <v>26</v>
      </c>
      <c r="F3" s="2" t="s">
        <v>27</v>
      </c>
      <c r="G3" s="2" t="s">
        <v>28</v>
      </c>
      <c r="H3" s="2" t="s">
        <v>29</v>
      </c>
      <c r="I3" s="2" t="s">
        <v>30</v>
      </c>
      <c r="J3" s="2" t="s">
        <v>31</v>
      </c>
      <c r="K3" s="2" t="s">
        <v>32</v>
      </c>
      <c r="L3" s="2">
        <v>3</v>
      </c>
      <c r="M3" s="3">
        <v>2.1</v>
      </c>
      <c r="N3" s="2">
        <v>100</v>
      </c>
      <c r="O3" s="3">
        <f>IF(OR(M3="",N3="",N3=0),"",M3/(N3/1000))</f>
        <v>21</v>
      </c>
      <c r="P3" s="2" t="s">
        <v>33</v>
      </c>
      <c r="Q3" s="2" t="s">
        <v>34</v>
      </c>
      <c r="R3" s="2" t="s">
        <v>35</v>
      </c>
      <c r="S3" s="2" t="s">
        <v>36</v>
      </c>
      <c r="T3" s="2"/>
      <c r="U3" s="2" t="s">
        <v>37</v>
      </c>
      <c r="V3" s="4" t="s">
        <v>38</v>
      </c>
      <c r="W3" s="2" t="s">
        <v>39</v>
      </c>
    </row>
    <row r="4" spans="1:23" ht="39.75" customHeight="1" x14ac:dyDescent="0.35">
      <c r="A4" s="5" t="s">
        <v>24</v>
      </c>
      <c r="B4" s="5" t="s">
        <v>25</v>
      </c>
      <c r="C4" s="5">
        <v>1.2</v>
      </c>
      <c r="D4" s="5">
        <v>1</v>
      </c>
      <c r="E4" s="5" t="s">
        <v>26</v>
      </c>
      <c r="F4" s="5" t="s">
        <v>27</v>
      </c>
      <c r="G4" s="5" t="s">
        <v>28</v>
      </c>
      <c r="H4" s="5" t="s">
        <v>29</v>
      </c>
      <c r="I4" s="5" t="s">
        <v>40</v>
      </c>
      <c r="J4" s="5" t="s">
        <v>31</v>
      </c>
      <c r="K4" s="5" t="s">
        <v>41</v>
      </c>
      <c r="L4" s="5">
        <v>3</v>
      </c>
      <c r="M4" s="6">
        <v>2.1</v>
      </c>
      <c r="N4" s="5">
        <v>100</v>
      </c>
      <c r="O4" s="6">
        <f>IF(OR(M4="",N4="",N4=0),"",M4/(N4/1000))</f>
        <v>21</v>
      </c>
      <c r="P4" s="5" t="s">
        <v>33</v>
      </c>
      <c r="Q4" s="5" t="s">
        <v>35</v>
      </c>
      <c r="R4" s="5" t="s">
        <v>35</v>
      </c>
      <c r="S4" s="5" t="s">
        <v>42</v>
      </c>
      <c r="T4" s="5"/>
      <c r="U4" s="5" t="s">
        <v>43</v>
      </c>
      <c r="V4" s="5" t="s">
        <v>38</v>
      </c>
      <c r="W4" s="5" t="s">
        <v>44</v>
      </c>
    </row>
    <row r="5" spans="1:23" ht="39.75" customHeight="1" x14ac:dyDescent="0.35">
      <c r="A5" s="2" t="s">
        <v>24</v>
      </c>
      <c r="B5" s="2" t="s">
        <v>25</v>
      </c>
      <c r="C5" s="2">
        <v>1.2</v>
      </c>
      <c r="D5" s="2">
        <v>1</v>
      </c>
      <c r="E5" s="2" t="s">
        <v>26</v>
      </c>
      <c r="F5" s="2" t="s">
        <v>27</v>
      </c>
      <c r="G5" s="2" t="s">
        <v>28</v>
      </c>
      <c r="H5" s="2" t="s">
        <v>29</v>
      </c>
      <c r="I5" s="2" t="s">
        <v>40</v>
      </c>
      <c r="J5" s="2" t="s">
        <v>31</v>
      </c>
      <c r="K5" s="2" t="s">
        <v>45</v>
      </c>
      <c r="L5" s="2">
        <v>3</v>
      </c>
      <c r="M5" s="3">
        <v>2.1</v>
      </c>
      <c r="N5" s="2">
        <v>100</v>
      </c>
      <c r="O5" s="3">
        <f>IF(OR(M5="",N5="",N5=0),"",M5/(N5/1000))</f>
        <v>21</v>
      </c>
      <c r="P5" s="2" t="s">
        <v>33</v>
      </c>
      <c r="Q5" s="2" t="s">
        <v>35</v>
      </c>
      <c r="R5" s="2" t="s">
        <v>35</v>
      </c>
      <c r="S5" s="2" t="s">
        <v>46</v>
      </c>
      <c r="T5" s="2"/>
      <c r="U5" s="2" t="s">
        <v>37</v>
      </c>
      <c r="V5" s="4" t="s">
        <v>47</v>
      </c>
      <c r="W5" s="2" t="s">
        <v>48</v>
      </c>
    </row>
    <row r="6" spans="1:23" ht="39.75" customHeight="1" x14ac:dyDescent="0.35">
      <c r="A6" s="7" t="s">
        <v>24</v>
      </c>
      <c r="B6" s="7" t="s">
        <v>25</v>
      </c>
      <c r="C6" s="7">
        <v>1.2</v>
      </c>
      <c r="D6" s="7">
        <v>1</v>
      </c>
      <c r="E6" s="7" t="s">
        <v>26</v>
      </c>
      <c r="F6" s="7" t="s">
        <v>27</v>
      </c>
      <c r="G6" s="7" t="s">
        <v>28</v>
      </c>
      <c r="H6" s="7" t="s">
        <v>29</v>
      </c>
      <c r="I6" s="7" t="s">
        <v>40</v>
      </c>
      <c r="J6" s="7" t="s">
        <v>31</v>
      </c>
      <c r="K6" s="7" t="s">
        <v>49</v>
      </c>
      <c r="L6" s="7">
        <v>3</v>
      </c>
      <c r="M6" s="8">
        <v>2.1</v>
      </c>
      <c r="N6" s="7">
        <v>100</v>
      </c>
      <c r="O6" s="8">
        <f>IF(OR(M6="",N6="",N6=0),"",M6/(N6/1000))</f>
        <v>21</v>
      </c>
      <c r="P6" s="7" t="s">
        <v>33</v>
      </c>
      <c r="Q6" s="7" t="s">
        <v>35</v>
      </c>
      <c r="R6" s="7" t="s">
        <v>35</v>
      </c>
      <c r="S6" s="7" t="s">
        <v>50</v>
      </c>
      <c r="T6" s="7"/>
      <c r="U6" s="7" t="s">
        <v>37</v>
      </c>
      <c r="V6" s="4" t="s">
        <v>38</v>
      </c>
      <c r="W6" s="7" t="s">
        <v>51</v>
      </c>
    </row>
    <row r="8" spans="1:23" ht="21.75" customHeight="1" x14ac:dyDescent="0.35">
      <c r="A8" s="11" t="s">
        <v>52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</row>
    <row r="9" spans="1:23" ht="30" customHeight="1" x14ac:dyDescent="0.35">
      <c r="A9" s="1" t="s">
        <v>1</v>
      </c>
      <c r="B9" s="1" t="s">
        <v>2</v>
      </c>
      <c r="C9" s="1" t="s">
        <v>3</v>
      </c>
      <c r="D9" s="1" t="s">
        <v>4</v>
      </c>
      <c r="E9" s="1" t="s">
        <v>5</v>
      </c>
      <c r="F9" s="1" t="s">
        <v>6</v>
      </c>
      <c r="G9" s="1" t="s">
        <v>7</v>
      </c>
      <c r="H9" s="1" t="s">
        <v>8</v>
      </c>
      <c r="I9" s="1" t="s">
        <v>9</v>
      </c>
      <c r="J9" s="1" t="s">
        <v>10</v>
      </c>
      <c r="K9" s="1" t="s">
        <v>11</v>
      </c>
      <c r="L9" s="1" t="s">
        <v>12</v>
      </c>
      <c r="M9" s="1" t="s">
        <v>13</v>
      </c>
      <c r="N9" s="1" t="s">
        <v>14</v>
      </c>
      <c r="O9" s="1" t="s">
        <v>15</v>
      </c>
      <c r="P9" s="1" t="s">
        <v>16</v>
      </c>
      <c r="Q9" s="1" t="s">
        <v>17</v>
      </c>
      <c r="R9" s="1" t="s">
        <v>18</v>
      </c>
      <c r="S9" s="1" t="s">
        <v>19</v>
      </c>
      <c r="T9" s="1" t="s">
        <v>20</v>
      </c>
      <c r="U9" s="1" t="s">
        <v>21</v>
      </c>
      <c r="V9" s="1" t="s">
        <v>22</v>
      </c>
      <c r="W9" s="1" t="s">
        <v>23</v>
      </c>
    </row>
    <row r="10" spans="1:23" ht="39.75" customHeight="1" x14ac:dyDescent="0.35">
      <c r="A10" s="2" t="s">
        <v>53</v>
      </c>
      <c r="B10" s="2" t="s">
        <v>25</v>
      </c>
      <c r="C10" s="2">
        <v>1.5</v>
      </c>
      <c r="D10" s="2">
        <v>6</v>
      </c>
      <c r="E10" s="2" t="s">
        <v>54</v>
      </c>
      <c r="F10" s="2" t="s">
        <v>27</v>
      </c>
      <c r="G10" s="2" t="s">
        <v>28</v>
      </c>
      <c r="H10" s="2" t="s">
        <v>29</v>
      </c>
      <c r="I10" s="2" t="s">
        <v>30</v>
      </c>
      <c r="J10" s="2" t="s">
        <v>31</v>
      </c>
      <c r="K10" s="2" t="s">
        <v>55</v>
      </c>
      <c r="L10" s="2">
        <v>2</v>
      </c>
      <c r="M10" s="3">
        <v>1.8</v>
      </c>
      <c r="N10" s="2">
        <v>100</v>
      </c>
      <c r="O10" s="3">
        <f t="shared" ref="O10:O16" si="0">IF(OR(M10="",N10="",N10=0),"",M10/(N10/1000))</f>
        <v>18</v>
      </c>
      <c r="P10" s="2" t="s">
        <v>33</v>
      </c>
      <c r="Q10" s="2" t="s">
        <v>34</v>
      </c>
      <c r="R10" s="2" t="s">
        <v>35</v>
      </c>
      <c r="S10" s="2" t="s">
        <v>56</v>
      </c>
      <c r="T10" s="2"/>
      <c r="U10" s="2" t="s">
        <v>37</v>
      </c>
      <c r="V10" s="4" t="s">
        <v>47</v>
      </c>
      <c r="W10" s="2" t="s">
        <v>57</v>
      </c>
    </row>
    <row r="11" spans="1:23" ht="39.75" customHeight="1" x14ac:dyDescent="0.35">
      <c r="A11" s="5" t="s">
        <v>53</v>
      </c>
      <c r="B11" s="5" t="s">
        <v>25</v>
      </c>
      <c r="C11" s="5">
        <v>1.5</v>
      </c>
      <c r="D11" s="5">
        <v>6</v>
      </c>
      <c r="E11" s="5" t="s">
        <v>54</v>
      </c>
      <c r="F11" s="5" t="s">
        <v>27</v>
      </c>
      <c r="G11" s="5" t="s">
        <v>28</v>
      </c>
      <c r="H11" s="5" t="s">
        <v>29</v>
      </c>
      <c r="I11" s="5" t="s">
        <v>30</v>
      </c>
      <c r="J11" s="5" t="s">
        <v>31</v>
      </c>
      <c r="K11" s="5" t="s">
        <v>58</v>
      </c>
      <c r="L11" s="5">
        <v>1</v>
      </c>
      <c r="M11" s="6">
        <v>1.8</v>
      </c>
      <c r="N11" s="5">
        <v>100</v>
      </c>
      <c r="O11" s="6">
        <f t="shared" si="0"/>
        <v>18</v>
      </c>
      <c r="P11" s="5" t="s">
        <v>33</v>
      </c>
      <c r="Q11" s="5" t="s">
        <v>34</v>
      </c>
      <c r="R11" s="5" t="s">
        <v>35</v>
      </c>
      <c r="S11" s="5" t="s">
        <v>59</v>
      </c>
      <c r="T11" s="5"/>
      <c r="U11" s="5" t="s">
        <v>43</v>
      </c>
      <c r="V11" s="5" t="s">
        <v>38</v>
      </c>
      <c r="W11" s="5" t="s">
        <v>60</v>
      </c>
    </row>
    <row r="12" spans="1:23" ht="39.75" customHeight="1" x14ac:dyDescent="0.35">
      <c r="A12" s="2" t="s">
        <v>53</v>
      </c>
      <c r="B12" s="2" t="s">
        <v>25</v>
      </c>
      <c r="C12" s="2">
        <v>1.5</v>
      </c>
      <c r="D12" s="2">
        <v>6</v>
      </c>
      <c r="E12" s="2" t="s">
        <v>54</v>
      </c>
      <c r="F12" s="2" t="s">
        <v>61</v>
      </c>
      <c r="G12" s="2" t="s">
        <v>62</v>
      </c>
      <c r="H12" s="2" t="s">
        <v>29</v>
      </c>
      <c r="I12" s="2" t="s">
        <v>63</v>
      </c>
      <c r="J12" s="2" t="s">
        <v>31</v>
      </c>
      <c r="K12" s="2" t="s">
        <v>64</v>
      </c>
      <c r="L12" s="2">
        <v>3</v>
      </c>
      <c r="M12" s="3">
        <v>2.1</v>
      </c>
      <c r="N12" s="2">
        <v>350</v>
      </c>
      <c r="O12" s="3">
        <f t="shared" si="0"/>
        <v>6.0000000000000009</v>
      </c>
      <c r="P12" s="2" t="s">
        <v>33</v>
      </c>
      <c r="Q12" s="2" t="s">
        <v>65</v>
      </c>
      <c r="R12" s="2" t="s">
        <v>35</v>
      </c>
      <c r="S12" s="2" t="s">
        <v>65</v>
      </c>
      <c r="T12" s="2"/>
      <c r="U12" s="2" t="s">
        <v>37</v>
      </c>
      <c r="V12" s="4" t="s">
        <v>47</v>
      </c>
      <c r="W12" s="2" t="s">
        <v>66</v>
      </c>
    </row>
    <row r="13" spans="1:23" ht="39.75" customHeight="1" x14ac:dyDescent="0.35">
      <c r="A13" s="7" t="s">
        <v>53</v>
      </c>
      <c r="B13" s="7" t="s">
        <v>25</v>
      </c>
      <c r="C13" s="7">
        <v>1.5</v>
      </c>
      <c r="D13" s="7">
        <v>6</v>
      </c>
      <c r="E13" s="7" t="s">
        <v>54</v>
      </c>
      <c r="F13" s="7" t="s">
        <v>61</v>
      </c>
      <c r="G13" s="7" t="s">
        <v>62</v>
      </c>
      <c r="H13" s="7" t="s">
        <v>29</v>
      </c>
      <c r="I13" s="7" t="s">
        <v>63</v>
      </c>
      <c r="J13" s="7" t="s">
        <v>31</v>
      </c>
      <c r="K13" s="7" t="s">
        <v>67</v>
      </c>
      <c r="L13" s="7">
        <v>4</v>
      </c>
      <c r="M13" s="8">
        <v>2.1</v>
      </c>
      <c r="N13" s="7">
        <v>350</v>
      </c>
      <c r="O13" s="8">
        <f t="shared" si="0"/>
        <v>6.0000000000000009</v>
      </c>
      <c r="P13" s="7" t="s">
        <v>33</v>
      </c>
      <c r="Q13" s="7" t="s">
        <v>65</v>
      </c>
      <c r="R13" s="7" t="s">
        <v>35</v>
      </c>
      <c r="S13" s="7" t="s">
        <v>65</v>
      </c>
      <c r="T13" s="7"/>
      <c r="U13" s="7" t="s">
        <v>37</v>
      </c>
      <c r="V13" s="4" t="s">
        <v>47</v>
      </c>
      <c r="W13" s="7" t="s">
        <v>68</v>
      </c>
    </row>
    <row r="14" spans="1:23" ht="39.75" customHeight="1" x14ac:dyDescent="0.35">
      <c r="A14" s="2" t="s">
        <v>53</v>
      </c>
      <c r="B14" s="2" t="s">
        <v>25</v>
      </c>
      <c r="C14" s="2">
        <v>1.5</v>
      </c>
      <c r="D14" s="2">
        <v>6</v>
      </c>
      <c r="E14" s="2" t="s">
        <v>69</v>
      </c>
      <c r="F14" s="2" t="s">
        <v>70</v>
      </c>
      <c r="G14" s="2" t="s">
        <v>62</v>
      </c>
      <c r="H14" s="2" t="s">
        <v>29</v>
      </c>
      <c r="I14" s="2"/>
      <c r="J14" s="2" t="s">
        <v>31</v>
      </c>
      <c r="K14" s="2" t="s">
        <v>71</v>
      </c>
      <c r="L14" s="2">
        <v>4</v>
      </c>
      <c r="M14" s="3">
        <v>1.95</v>
      </c>
      <c r="N14" s="2">
        <v>350</v>
      </c>
      <c r="O14" s="3">
        <f t="shared" si="0"/>
        <v>5.5714285714285721</v>
      </c>
      <c r="P14" s="2" t="s">
        <v>33</v>
      </c>
      <c r="Q14" s="2" t="s">
        <v>35</v>
      </c>
      <c r="R14" s="2" t="s">
        <v>35</v>
      </c>
      <c r="S14" s="2"/>
      <c r="T14" s="2"/>
      <c r="U14" s="2" t="s">
        <v>37</v>
      </c>
      <c r="V14" s="4" t="s">
        <v>47</v>
      </c>
      <c r="W14" s="2" t="s">
        <v>72</v>
      </c>
    </row>
    <row r="15" spans="1:23" ht="39.75" customHeight="1" x14ac:dyDescent="0.35">
      <c r="A15" s="7" t="s">
        <v>53</v>
      </c>
      <c r="B15" s="7" t="s">
        <v>25</v>
      </c>
      <c r="C15" s="7">
        <v>1.5</v>
      </c>
      <c r="D15" s="7">
        <v>6</v>
      </c>
      <c r="E15" s="7" t="s">
        <v>69</v>
      </c>
      <c r="F15" s="7" t="s">
        <v>70</v>
      </c>
      <c r="G15" s="7" t="s">
        <v>62</v>
      </c>
      <c r="H15" s="7" t="s">
        <v>29</v>
      </c>
      <c r="I15" s="7"/>
      <c r="J15" s="7" t="s">
        <v>31</v>
      </c>
      <c r="K15" s="7" t="s">
        <v>73</v>
      </c>
      <c r="L15" s="7">
        <v>2</v>
      </c>
      <c r="M15" s="8">
        <v>1.95</v>
      </c>
      <c r="N15" s="7">
        <v>350</v>
      </c>
      <c r="O15" s="8">
        <f t="shared" si="0"/>
        <v>5.5714285714285721</v>
      </c>
      <c r="P15" s="7" t="s">
        <v>33</v>
      </c>
      <c r="Q15" s="7" t="s">
        <v>35</v>
      </c>
      <c r="R15" s="7" t="s">
        <v>35</v>
      </c>
      <c r="S15" s="7"/>
      <c r="T15" s="7"/>
      <c r="U15" s="7" t="s">
        <v>37</v>
      </c>
      <c r="V15" s="4" t="s">
        <v>47</v>
      </c>
      <c r="W15" s="7" t="s">
        <v>72</v>
      </c>
    </row>
    <row r="16" spans="1:23" ht="39.75" customHeight="1" x14ac:dyDescent="0.35">
      <c r="A16" s="2" t="s">
        <v>53</v>
      </c>
      <c r="B16" s="2" t="s">
        <v>25</v>
      </c>
      <c r="C16" s="2">
        <v>1.5</v>
      </c>
      <c r="D16" s="2">
        <v>6</v>
      </c>
      <c r="E16" s="2" t="s">
        <v>69</v>
      </c>
      <c r="F16" s="2" t="s">
        <v>61</v>
      </c>
      <c r="G16" s="2" t="s">
        <v>28</v>
      </c>
      <c r="H16" s="2" t="s">
        <v>29</v>
      </c>
      <c r="I16" s="2" t="s">
        <v>74</v>
      </c>
      <c r="J16" s="2" t="s">
        <v>31</v>
      </c>
      <c r="K16" s="2" t="s">
        <v>74</v>
      </c>
      <c r="L16" s="2">
        <v>4</v>
      </c>
      <c r="M16" s="3">
        <v>2.4</v>
      </c>
      <c r="N16" s="2">
        <v>250</v>
      </c>
      <c r="O16" s="3">
        <f t="shared" si="0"/>
        <v>9.6</v>
      </c>
      <c r="P16" s="2" t="s">
        <v>33</v>
      </c>
      <c r="Q16" s="2" t="s">
        <v>34</v>
      </c>
      <c r="R16" s="2" t="s">
        <v>35</v>
      </c>
      <c r="S16" s="2" t="s">
        <v>76</v>
      </c>
      <c r="T16" s="2"/>
      <c r="U16" s="2" t="s">
        <v>37</v>
      </c>
      <c r="V16" s="4" t="s">
        <v>77</v>
      </c>
      <c r="W16" s="2" t="s">
        <v>78</v>
      </c>
    </row>
    <row r="18" spans="1:23" ht="21.75" customHeight="1" x14ac:dyDescent="0.35">
      <c r="A18" s="11" t="s">
        <v>79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</row>
    <row r="19" spans="1:23" ht="30" customHeight="1" x14ac:dyDescent="0.35">
      <c r="A19" s="1" t="s">
        <v>1</v>
      </c>
      <c r="B19" s="1" t="s">
        <v>2</v>
      </c>
      <c r="C19" s="1" t="s">
        <v>3</v>
      </c>
      <c r="D19" s="1" t="s">
        <v>4</v>
      </c>
      <c r="E19" s="1" t="s">
        <v>5</v>
      </c>
      <c r="F19" s="1" t="s">
        <v>6</v>
      </c>
      <c r="G19" s="1" t="s">
        <v>7</v>
      </c>
      <c r="H19" s="1" t="s">
        <v>8</v>
      </c>
      <c r="I19" s="1" t="s">
        <v>9</v>
      </c>
      <c r="J19" s="1" t="s">
        <v>10</v>
      </c>
      <c r="K19" s="1" t="s">
        <v>11</v>
      </c>
      <c r="L19" s="1" t="s">
        <v>12</v>
      </c>
      <c r="M19" s="1" t="s">
        <v>13</v>
      </c>
      <c r="N19" s="1" t="s">
        <v>14</v>
      </c>
      <c r="O19" s="1" t="s">
        <v>15</v>
      </c>
      <c r="P19" s="1" t="s">
        <v>16</v>
      </c>
      <c r="Q19" s="1" t="s">
        <v>17</v>
      </c>
      <c r="R19" s="1" t="s">
        <v>18</v>
      </c>
      <c r="S19" s="1" t="s">
        <v>19</v>
      </c>
      <c r="T19" s="1" t="s">
        <v>20</v>
      </c>
      <c r="U19" s="1" t="s">
        <v>21</v>
      </c>
      <c r="V19" s="1" t="s">
        <v>22</v>
      </c>
      <c r="W19" s="1" t="s">
        <v>23</v>
      </c>
    </row>
    <row r="20" spans="1:23" ht="39.75" customHeight="1" x14ac:dyDescent="0.35">
      <c r="A20" s="2" t="s">
        <v>80</v>
      </c>
      <c r="B20" s="2" t="s">
        <v>25</v>
      </c>
      <c r="C20" s="2">
        <v>1.5</v>
      </c>
      <c r="D20" s="2">
        <v>6</v>
      </c>
      <c r="E20" s="2" t="s">
        <v>54</v>
      </c>
      <c r="F20" s="2" t="s">
        <v>27</v>
      </c>
      <c r="G20" s="2" t="s">
        <v>28</v>
      </c>
      <c r="H20" s="2" t="s">
        <v>81</v>
      </c>
      <c r="I20" s="2"/>
      <c r="J20" s="2" t="s">
        <v>75</v>
      </c>
      <c r="K20" s="2" t="s">
        <v>82</v>
      </c>
      <c r="L20" s="2">
        <v>4</v>
      </c>
      <c r="M20" s="3">
        <v>1.3</v>
      </c>
      <c r="N20" s="2">
        <v>125</v>
      </c>
      <c r="O20" s="3">
        <f t="shared" ref="O20:O26" si="1">IF(OR(M20="",N20="",N20=0),"",M20/(N20/1000))</f>
        <v>10.4</v>
      </c>
      <c r="P20" s="2" t="s">
        <v>33</v>
      </c>
      <c r="Q20" s="2" t="s">
        <v>35</v>
      </c>
      <c r="R20" s="2" t="s">
        <v>35</v>
      </c>
      <c r="S20" s="2" t="s">
        <v>83</v>
      </c>
      <c r="T20" s="2"/>
      <c r="U20" s="2" t="s">
        <v>37</v>
      </c>
      <c r="V20" s="4" t="s">
        <v>38</v>
      </c>
      <c r="W20" s="2" t="s">
        <v>84</v>
      </c>
    </row>
    <row r="21" spans="1:23" ht="39.75" customHeight="1" x14ac:dyDescent="0.35">
      <c r="A21" s="5" t="s">
        <v>80</v>
      </c>
      <c r="B21" s="5" t="s">
        <v>25</v>
      </c>
      <c r="C21" s="5">
        <v>1.5</v>
      </c>
      <c r="D21" s="5">
        <v>6</v>
      </c>
      <c r="E21" s="5" t="s">
        <v>54</v>
      </c>
      <c r="F21" s="5" t="s">
        <v>27</v>
      </c>
      <c r="G21" s="5" t="s">
        <v>28</v>
      </c>
      <c r="H21" s="5" t="s">
        <v>29</v>
      </c>
      <c r="I21" s="5"/>
      <c r="J21" s="5" t="s">
        <v>31</v>
      </c>
      <c r="K21" s="5" t="s">
        <v>85</v>
      </c>
      <c r="L21" s="5">
        <v>0</v>
      </c>
      <c r="M21" s="6">
        <v>2.1</v>
      </c>
      <c r="N21" s="5">
        <v>100</v>
      </c>
      <c r="O21" s="6">
        <f t="shared" si="1"/>
        <v>21</v>
      </c>
      <c r="P21" s="5" t="s">
        <v>33</v>
      </c>
      <c r="Q21" s="5" t="s">
        <v>35</v>
      </c>
      <c r="R21" s="5" t="s">
        <v>35</v>
      </c>
      <c r="S21" s="5" t="s">
        <v>86</v>
      </c>
      <c r="T21" s="5"/>
      <c r="U21" s="5" t="s">
        <v>43</v>
      </c>
      <c r="V21" s="5" t="s">
        <v>38</v>
      </c>
      <c r="W21" s="5" t="s">
        <v>87</v>
      </c>
    </row>
    <row r="22" spans="1:23" ht="39.75" customHeight="1" x14ac:dyDescent="0.35">
      <c r="A22" s="5" t="s">
        <v>80</v>
      </c>
      <c r="B22" s="5" t="s">
        <v>25</v>
      </c>
      <c r="C22" s="5">
        <v>1.5</v>
      </c>
      <c r="D22" s="5">
        <v>6</v>
      </c>
      <c r="E22" s="5" t="s">
        <v>54</v>
      </c>
      <c r="F22" s="5" t="s">
        <v>27</v>
      </c>
      <c r="G22" s="5" t="s">
        <v>28</v>
      </c>
      <c r="H22" s="5" t="s">
        <v>29</v>
      </c>
      <c r="I22" s="5" t="s">
        <v>88</v>
      </c>
      <c r="J22" s="5" t="s">
        <v>31</v>
      </c>
      <c r="K22" s="5" t="s">
        <v>89</v>
      </c>
      <c r="L22" s="5">
        <v>3</v>
      </c>
      <c r="M22" s="6">
        <v>2.1</v>
      </c>
      <c r="N22" s="5">
        <v>150</v>
      </c>
      <c r="O22" s="6">
        <f t="shared" si="1"/>
        <v>14.000000000000002</v>
      </c>
      <c r="P22" s="5" t="s">
        <v>33</v>
      </c>
      <c r="Q22" s="5" t="s">
        <v>35</v>
      </c>
      <c r="R22" s="5" t="s">
        <v>35</v>
      </c>
      <c r="S22" s="5" t="s">
        <v>90</v>
      </c>
      <c r="T22" s="5"/>
      <c r="U22" s="5" t="s">
        <v>43</v>
      </c>
      <c r="V22" s="5" t="s">
        <v>38</v>
      </c>
      <c r="W22" s="5" t="s">
        <v>91</v>
      </c>
    </row>
    <row r="23" spans="1:23" ht="39.75" customHeight="1" x14ac:dyDescent="0.35">
      <c r="A23" s="7" t="s">
        <v>80</v>
      </c>
      <c r="B23" s="7" t="s">
        <v>25</v>
      </c>
      <c r="C23" s="7">
        <v>1.5</v>
      </c>
      <c r="D23" s="7">
        <v>6</v>
      </c>
      <c r="E23" s="7" t="s">
        <v>54</v>
      </c>
      <c r="F23" s="7" t="s">
        <v>27</v>
      </c>
      <c r="G23" s="7" t="s">
        <v>28</v>
      </c>
      <c r="H23" s="7" t="s">
        <v>29</v>
      </c>
      <c r="I23" s="7" t="s">
        <v>88</v>
      </c>
      <c r="J23" s="7" t="s">
        <v>31</v>
      </c>
      <c r="K23" s="7" t="s">
        <v>92</v>
      </c>
      <c r="L23" s="7">
        <v>3</v>
      </c>
      <c r="M23" s="8">
        <v>2.1</v>
      </c>
      <c r="N23" s="7">
        <v>150</v>
      </c>
      <c r="O23" s="8">
        <f t="shared" si="1"/>
        <v>14.000000000000002</v>
      </c>
      <c r="P23" s="7" t="s">
        <v>33</v>
      </c>
      <c r="Q23" s="7" t="s">
        <v>35</v>
      </c>
      <c r="R23" s="7" t="s">
        <v>35</v>
      </c>
      <c r="S23" s="7" t="s">
        <v>93</v>
      </c>
      <c r="T23" s="7"/>
      <c r="U23" s="7" t="s">
        <v>37</v>
      </c>
      <c r="V23" s="4" t="s">
        <v>38</v>
      </c>
      <c r="W23" s="7" t="s">
        <v>94</v>
      </c>
    </row>
    <row r="24" spans="1:23" ht="39.75" customHeight="1" x14ac:dyDescent="0.35">
      <c r="A24" s="2" t="s">
        <v>80</v>
      </c>
      <c r="B24" s="2" t="s">
        <v>25</v>
      </c>
      <c r="C24" s="2">
        <v>1.5</v>
      </c>
      <c r="D24" s="2">
        <v>6</v>
      </c>
      <c r="E24" s="2" t="s">
        <v>69</v>
      </c>
      <c r="F24" s="2" t="s">
        <v>61</v>
      </c>
      <c r="G24" s="2" t="s">
        <v>62</v>
      </c>
      <c r="H24" s="2" t="s">
        <v>29</v>
      </c>
      <c r="I24" s="2" t="s">
        <v>63</v>
      </c>
      <c r="J24" s="2" t="s">
        <v>31</v>
      </c>
      <c r="K24" s="2" t="s">
        <v>95</v>
      </c>
      <c r="L24" s="2">
        <v>4</v>
      </c>
      <c r="M24" s="3">
        <v>2.1</v>
      </c>
      <c r="N24" s="2">
        <v>350</v>
      </c>
      <c r="O24" s="3">
        <f t="shared" si="1"/>
        <v>6.0000000000000009</v>
      </c>
      <c r="P24" s="2" t="s">
        <v>33</v>
      </c>
      <c r="Q24" s="2" t="s">
        <v>65</v>
      </c>
      <c r="R24" s="2" t="s">
        <v>35</v>
      </c>
      <c r="S24" s="2" t="s">
        <v>258</v>
      </c>
      <c r="T24" s="2"/>
      <c r="U24" s="2" t="s">
        <v>37</v>
      </c>
      <c r="V24" s="4" t="s">
        <v>47</v>
      </c>
      <c r="W24" s="2" t="s">
        <v>96</v>
      </c>
    </row>
    <row r="25" spans="1:23" ht="39.75" customHeight="1" x14ac:dyDescent="0.35">
      <c r="A25" s="7" t="s">
        <v>80</v>
      </c>
      <c r="B25" s="7" t="s">
        <v>25</v>
      </c>
      <c r="C25" s="7">
        <v>1.5</v>
      </c>
      <c r="D25" s="7">
        <v>6</v>
      </c>
      <c r="E25" s="7" t="s">
        <v>69</v>
      </c>
      <c r="F25" s="7" t="s">
        <v>61</v>
      </c>
      <c r="G25" s="7" t="s">
        <v>62</v>
      </c>
      <c r="H25" s="7" t="s">
        <v>29</v>
      </c>
      <c r="I25" s="7" t="s">
        <v>63</v>
      </c>
      <c r="J25" s="7" t="s">
        <v>31</v>
      </c>
      <c r="K25" s="7" t="s">
        <v>97</v>
      </c>
      <c r="L25" s="7">
        <v>3</v>
      </c>
      <c r="M25" s="8">
        <v>2.1</v>
      </c>
      <c r="N25" s="7">
        <v>350</v>
      </c>
      <c r="O25" s="8">
        <f t="shared" si="1"/>
        <v>6.0000000000000009</v>
      </c>
      <c r="P25" s="7" t="s">
        <v>33</v>
      </c>
      <c r="Q25" s="7" t="s">
        <v>98</v>
      </c>
      <c r="R25" s="7" t="s">
        <v>35</v>
      </c>
      <c r="S25" s="7" t="s">
        <v>259</v>
      </c>
      <c r="T25" s="7"/>
      <c r="U25" s="7" t="s">
        <v>37</v>
      </c>
      <c r="V25" s="4" t="s">
        <v>77</v>
      </c>
      <c r="W25" s="7" t="s">
        <v>96</v>
      </c>
    </row>
    <row r="26" spans="1:23" ht="39.75" customHeight="1" x14ac:dyDescent="0.35">
      <c r="A26" s="2" t="s">
        <v>80</v>
      </c>
      <c r="B26" s="2" t="s">
        <v>25</v>
      </c>
      <c r="C26" s="2">
        <v>1.5</v>
      </c>
      <c r="D26" s="2">
        <v>6</v>
      </c>
      <c r="E26" s="2" t="s">
        <v>69</v>
      </c>
      <c r="F26" s="2" t="s">
        <v>70</v>
      </c>
      <c r="G26" s="2" t="s">
        <v>62</v>
      </c>
      <c r="H26" s="2" t="s">
        <v>29</v>
      </c>
      <c r="I26" s="2" t="s">
        <v>63</v>
      </c>
      <c r="J26" s="2" t="s">
        <v>31</v>
      </c>
      <c r="K26" s="2" t="s">
        <v>99</v>
      </c>
      <c r="L26" s="2">
        <v>3</v>
      </c>
      <c r="M26" s="3">
        <v>2.1</v>
      </c>
      <c r="N26" s="2">
        <v>350</v>
      </c>
      <c r="O26" s="3">
        <f t="shared" si="1"/>
        <v>6.0000000000000009</v>
      </c>
      <c r="P26" s="2" t="s">
        <v>33</v>
      </c>
      <c r="Q26" s="2" t="s">
        <v>65</v>
      </c>
      <c r="R26" s="2" t="s">
        <v>35</v>
      </c>
      <c r="S26" s="2" t="s">
        <v>260</v>
      </c>
      <c r="T26" s="2"/>
      <c r="U26" s="2" t="s">
        <v>37</v>
      </c>
      <c r="V26" s="4" t="s">
        <v>77</v>
      </c>
      <c r="W26" s="2" t="s">
        <v>96</v>
      </c>
    </row>
    <row r="28" spans="1:23" ht="21.75" customHeight="1" x14ac:dyDescent="0.35">
      <c r="A28" s="11" t="s">
        <v>100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</row>
    <row r="29" spans="1:23" ht="30" customHeight="1" x14ac:dyDescent="0.35">
      <c r="A29" s="1" t="s">
        <v>1</v>
      </c>
      <c r="B29" s="1" t="s">
        <v>2</v>
      </c>
      <c r="C29" s="1" t="s">
        <v>3</v>
      </c>
      <c r="D29" s="1" t="s">
        <v>4</v>
      </c>
      <c r="E29" s="1" t="s">
        <v>5</v>
      </c>
      <c r="F29" s="1" t="s">
        <v>6</v>
      </c>
      <c r="G29" s="1" t="s">
        <v>7</v>
      </c>
      <c r="H29" s="1" t="s">
        <v>8</v>
      </c>
      <c r="I29" s="1" t="s">
        <v>9</v>
      </c>
      <c r="J29" s="1" t="s">
        <v>10</v>
      </c>
      <c r="K29" s="1" t="s">
        <v>11</v>
      </c>
      <c r="L29" s="1" t="s">
        <v>12</v>
      </c>
      <c r="M29" s="1" t="s">
        <v>13</v>
      </c>
      <c r="N29" s="1" t="s">
        <v>14</v>
      </c>
      <c r="O29" s="1" t="s">
        <v>15</v>
      </c>
      <c r="P29" s="1" t="s">
        <v>16</v>
      </c>
      <c r="Q29" s="1" t="s">
        <v>17</v>
      </c>
      <c r="R29" s="1" t="s">
        <v>18</v>
      </c>
      <c r="S29" s="1" t="s">
        <v>19</v>
      </c>
      <c r="T29" s="1" t="s">
        <v>20</v>
      </c>
      <c r="U29" s="1" t="s">
        <v>21</v>
      </c>
      <c r="V29" s="1" t="s">
        <v>22</v>
      </c>
      <c r="W29" s="1" t="s">
        <v>23</v>
      </c>
    </row>
    <row r="30" spans="1:23" ht="39.75" customHeight="1" x14ac:dyDescent="0.35">
      <c r="A30" s="2" t="s">
        <v>101</v>
      </c>
      <c r="B30" s="2" t="s">
        <v>25</v>
      </c>
      <c r="C30" s="2">
        <v>1.5</v>
      </c>
      <c r="D30" s="2">
        <v>6</v>
      </c>
      <c r="E30" s="2" t="s">
        <v>69</v>
      </c>
      <c r="F30" s="2" t="s">
        <v>102</v>
      </c>
      <c r="G30" s="2" t="s">
        <v>28</v>
      </c>
      <c r="H30" s="2" t="s">
        <v>29</v>
      </c>
      <c r="I30" s="2"/>
      <c r="J30" s="2" t="s">
        <v>31</v>
      </c>
      <c r="K30" s="2" t="s">
        <v>103</v>
      </c>
      <c r="L30" s="2">
        <v>3</v>
      </c>
      <c r="M30" s="3">
        <v>2.1</v>
      </c>
      <c r="N30" s="2">
        <v>350</v>
      </c>
      <c r="O30" s="3">
        <f t="shared" ref="O30:O40" si="2">IF(OR(M30="",N30="",N30=0),"",M30/(N30/1000))</f>
        <v>6.0000000000000009</v>
      </c>
      <c r="P30" s="2" t="s">
        <v>33</v>
      </c>
      <c r="Q30" s="2" t="s">
        <v>35</v>
      </c>
      <c r="R30" s="2" t="s">
        <v>35</v>
      </c>
      <c r="S30" s="2" t="s">
        <v>104</v>
      </c>
      <c r="T30" s="2"/>
      <c r="U30" s="2" t="s">
        <v>37</v>
      </c>
      <c r="V30" s="4" t="s">
        <v>38</v>
      </c>
      <c r="W30" s="2" t="s">
        <v>105</v>
      </c>
    </row>
    <row r="31" spans="1:23" ht="39.75" customHeight="1" x14ac:dyDescent="0.35">
      <c r="A31" s="5" t="s">
        <v>101</v>
      </c>
      <c r="B31" s="5" t="s">
        <v>25</v>
      </c>
      <c r="C31" s="5">
        <v>1.5</v>
      </c>
      <c r="D31" s="5">
        <v>6</v>
      </c>
      <c r="E31" s="5" t="s">
        <v>69</v>
      </c>
      <c r="F31" s="5" t="s">
        <v>102</v>
      </c>
      <c r="G31" s="5" t="s">
        <v>28</v>
      </c>
      <c r="H31" s="5" t="s">
        <v>29</v>
      </c>
      <c r="I31" s="5"/>
      <c r="J31" s="5" t="s">
        <v>31</v>
      </c>
      <c r="K31" s="5" t="s">
        <v>106</v>
      </c>
      <c r="L31" s="5">
        <v>2</v>
      </c>
      <c r="M31" s="6">
        <v>2.65</v>
      </c>
      <c r="N31" s="5">
        <v>250</v>
      </c>
      <c r="O31" s="6">
        <f t="shared" si="2"/>
        <v>10.6</v>
      </c>
      <c r="P31" s="5" t="s">
        <v>33</v>
      </c>
      <c r="Q31" s="5" t="s">
        <v>35</v>
      </c>
      <c r="R31" s="5" t="s">
        <v>35</v>
      </c>
      <c r="S31" s="5"/>
      <c r="T31" s="5"/>
      <c r="U31" s="5" t="s">
        <v>37</v>
      </c>
      <c r="V31" s="5" t="s">
        <v>38</v>
      </c>
      <c r="W31" s="5" t="s">
        <v>107</v>
      </c>
    </row>
    <row r="32" spans="1:23" ht="39.75" customHeight="1" x14ac:dyDescent="0.35">
      <c r="A32" s="2" t="s">
        <v>101</v>
      </c>
      <c r="B32" s="2" t="s">
        <v>25</v>
      </c>
      <c r="C32" s="2">
        <v>1.5</v>
      </c>
      <c r="D32" s="2">
        <v>6</v>
      </c>
      <c r="E32" s="2" t="s">
        <v>69</v>
      </c>
      <c r="F32" s="2" t="s">
        <v>102</v>
      </c>
      <c r="G32" s="2" t="s">
        <v>28</v>
      </c>
      <c r="H32" s="2" t="s">
        <v>29</v>
      </c>
      <c r="I32" s="2" t="s">
        <v>108</v>
      </c>
      <c r="J32" s="2" t="s">
        <v>31</v>
      </c>
      <c r="K32" s="2" t="s">
        <v>252</v>
      </c>
      <c r="L32" s="2">
        <v>3</v>
      </c>
      <c r="M32" s="3">
        <v>2.65</v>
      </c>
      <c r="N32" s="2">
        <v>350</v>
      </c>
      <c r="O32" s="3">
        <f t="shared" si="2"/>
        <v>7.5714285714285721</v>
      </c>
      <c r="P32" s="2" t="s">
        <v>33</v>
      </c>
      <c r="Q32" s="2" t="s">
        <v>35</v>
      </c>
      <c r="R32" s="2" t="s">
        <v>245</v>
      </c>
      <c r="S32" s="2" t="s">
        <v>109</v>
      </c>
      <c r="T32" s="2"/>
      <c r="U32" s="2" t="s">
        <v>37</v>
      </c>
      <c r="V32" s="4" t="s">
        <v>77</v>
      </c>
      <c r="W32" s="2" t="s">
        <v>110</v>
      </c>
    </row>
    <row r="33" spans="1:23" ht="39.75" customHeight="1" x14ac:dyDescent="0.35">
      <c r="A33" s="7" t="s">
        <v>101</v>
      </c>
      <c r="B33" s="7" t="s">
        <v>25</v>
      </c>
      <c r="C33" s="7">
        <v>1.5</v>
      </c>
      <c r="D33" s="7">
        <v>6</v>
      </c>
      <c r="E33" s="7" t="s">
        <v>69</v>
      </c>
      <c r="F33" s="7" t="s">
        <v>102</v>
      </c>
      <c r="G33" s="7" t="s">
        <v>28</v>
      </c>
      <c r="H33" s="7" t="s">
        <v>29</v>
      </c>
      <c r="I33" s="7" t="s">
        <v>111</v>
      </c>
      <c r="J33" s="7" t="s">
        <v>31</v>
      </c>
      <c r="K33" s="7" t="s">
        <v>253</v>
      </c>
      <c r="L33" s="7">
        <v>2</v>
      </c>
      <c r="M33" s="8">
        <v>2.65</v>
      </c>
      <c r="N33" s="7">
        <v>350</v>
      </c>
      <c r="O33" s="8">
        <f t="shared" si="2"/>
        <v>7.5714285714285721</v>
      </c>
      <c r="P33" s="7" t="s">
        <v>33</v>
      </c>
      <c r="Q33" s="7" t="s">
        <v>35</v>
      </c>
      <c r="R33" s="7" t="s">
        <v>245</v>
      </c>
      <c r="S33" s="7" t="s">
        <v>112</v>
      </c>
      <c r="T33" s="7"/>
      <c r="U33" s="7" t="s">
        <v>37</v>
      </c>
      <c r="V33" s="4" t="s">
        <v>38</v>
      </c>
      <c r="W33" s="7" t="s">
        <v>113</v>
      </c>
    </row>
    <row r="34" spans="1:23" ht="39.75" customHeight="1" x14ac:dyDescent="0.35">
      <c r="A34" s="2" t="s">
        <v>101</v>
      </c>
      <c r="B34" s="2" t="s">
        <v>25</v>
      </c>
      <c r="C34" s="2">
        <v>1.5</v>
      </c>
      <c r="D34" s="2">
        <v>6</v>
      </c>
      <c r="E34" s="2" t="s">
        <v>69</v>
      </c>
      <c r="F34" s="2" t="s">
        <v>102</v>
      </c>
      <c r="G34" s="2" t="s">
        <v>28</v>
      </c>
      <c r="H34" s="2" t="s">
        <v>29</v>
      </c>
      <c r="I34" s="2" t="s">
        <v>111</v>
      </c>
      <c r="J34" s="2" t="s">
        <v>31</v>
      </c>
      <c r="K34" s="2" t="s">
        <v>254</v>
      </c>
      <c r="L34" s="2">
        <v>3</v>
      </c>
      <c r="M34" s="3">
        <v>2.65</v>
      </c>
      <c r="N34" s="2">
        <v>350</v>
      </c>
      <c r="O34" s="3">
        <f t="shared" si="2"/>
        <v>7.5714285714285721</v>
      </c>
      <c r="P34" s="2" t="s">
        <v>33</v>
      </c>
      <c r="Q34" s="2" t="s">
        <v>35</v>
      </c>
      <c r="R34" s="2" t="s">
        <v>245</v>
      </c>
      <c r="S34" s="2" t="s">
        <v>114</v>
      </c>
      <c r="T34" s="2"/>
      <c r="U34" s="2" t="s">
        <v>37</v>
      </c>
      <c r="V34" s="4" t="s">
        <v>77</v>
      </c>
      <c r="W34" s="2" t="s">
        <v>115</v>
      </c>
    </row>
    <row r="35" spans="1:23" ht="39.75" customHeight="1" x14ac:dyDescent="0.35">
      <c r="A35" s="7" t="s">
        <v>101</v>
      </c>
      <c r="B35" s="7" t="s">
        <v>25</v>
      </c>
      <c r="C35" s="7">
        <v>1.5</v>
      </c>
      <c r="D35" s="7">
        <v>6</v>
      </c>
      <c r="E35" s="7" t="s">
        <v>116</v>
      </c>
      <c r="F35" s="7" t="s">
        <v>70</v>
      </c>
      <c r="G35" s="7" t="s">
        <v>62</v>
      </c>
      <c r="H35" s="7" t="s">
        <v>29</v>
      </c>
      <c r="I35" s="7"/>
      <c r="J35" s="7" t="s">
        <v>31</v>
      </c>
      <c r="K35" s="7" t="s">
        <v>117</v>
      </c>
      <c r="L35" s="7">
        <v>5</v>
      </c>
      <c r="M35" s="8">
        <v>2</v>
      </c>
      <c r="N35" s="7">
        <v>500</v>
      </c>
      <c r="O35" s="8">
        <f t="shared" si="2"/>
        <v>4</v>
      </c>
      <c r="P35" s="7" t="s">
        <v>33</v>
      </c>
      <c r="Q35" s="7" t="s">
        <v>35</v>
      </c>
      <c r="R35" s="7" t="s">
        <v>245</v>
      </c>
      <c r="S35" s="7"/>
      <c r="T35" s="7"/>
      <c r="U35" s="7" t="s">
        <v>37</v>
      </c>
      <c r="V35" s="4" t="s">
        <v>77</v>
      </c>
      <c r="W35" s="7" t="s">
        <v>118</v>
      </c>
    </row>
    <row r="36" spans="1:23" ht="39.75" customHeight="1" x14ac:dyDescent="0.35">
      <c r="A36" s="2" t="s">
        <v>101</v>
      </c>
      <c r="B36" s="2" t="s">
        <v>25</v>
      </c>
      <c r="C36" s="2">
        <v>1.5</v>
      </c>
      <c r="D36" s="2">
        <v>6</v>
      </c>
      <c r="E36" s="2" t="s">
        <v>116</v>
      </c>
      <c r="F36" s="2" t="s">
        <v>70</v>
      </c>
      <c r="G36" s="2" t="s">
        <v>62</v>
      </c>
      <c r="H36" s="2" t="s">
        <v>29</v>
      </c>
      <c r="I36" s="2"/>
      <c r="J36" s="2" t="s">
        <v>31</v>
      </c>
      <c r="K36" s="2" t="s">
        <v>119</v>
      </c>
      <c r="L36" s="2">
        <v>2</v>
      </c>
      <c r="M36" s="3">
        <v>1.45</v>
      </c>
      <c r="N36" s="2">
        <v>500</v>
      </c>
      <c r="O36" s="3">
        <f t="shared" si="2"/>
        <v>2.9</v>
      </c>
      <c r="P36" s="2" t="s">
        <v>33</v>
      </c>
      <c r="Q36" s="2" t="s">
        <v>35</v>
      </c>
      <c r="R36" s="2" t="s">
        <v>35</v>
      </c>
      <c r="S36" s="2"/>
      <c r="T36" s="2"/>
      <c r="U36" s="2" t="s">
        <v>37</v>
      </c>
      <c r="V36" s="4" t="s">
        <v>38</v>
      </c>
      <c r="W36" s="2" t="s">
        <v>120</v>
      </c>
    </row>
    <row r="37" spans="1:23" ht="39.75" customHeight="1" x14ac:dyDescent="0.35">
      <c r="A37" s="5" t="s">
        <v>101</v>
      </c>
      <c r="B37" s="5" t="s">
        <v>25</v>
      </c>
      <c r="C37" s="5">
        <v>1.5</v>
      </c>
      <c r="D37" s="5">
        <v>6</v>
      </c>
      <c r="E37" s="5" t="s">
        <v>136</v>
      </c>
      <c r="F37" s="5" t="s">
        <v>70</v>
      </c>
      <c r="G37" s="5" t="s">
        <v>62</v>
      </c>
      <c r="H37" s="5"/>
      <c r="I37" s="5"/>
      <c r="J37" s="5"/>
      <c r="K37" s="5" t="s">
        <v>255</v>
      </c>
      <c r="L37" s="5">
        <v>0</v>
      </c>
      <c r="M37" s="6">
        <v>1.45</v>
      </c>
      <c r="N37" s="5">
        <v>500</v>
      </c>
      <c r="O37" s="6" t="s">
        <v>256</v>
      </c>
      <c r="P37" s="5" t="s">
        <v>33</v>
      </c>
      <c r="Q37" s="5" t="s">
        <v>35</v>
      </c>
      <c r="R37" s="5" t="s">
        <v>35</v>
      </c>
      <c r="S37" s="5" t="s">
        <v>257</v>
      </c>
      <c r="T37" s="5"/>
      <c r="U37" s="5" t="s">
        <v>43</v>
      </c>
      <c r="V37" s="5"/>
      <c r="W37" s="5"/>
    </row>
    <row r="38" spans="1:23" ht="39.75" customHeight="1" x14ac:dyDescent="0.35">
      <c r="A38" s="5" t="s">
        <v>101</v>
      </c>
      <c r="B38" s="5" t="s">
        <v>25</v>
      </c>
      <c r="C38" s="5">
        <v>1.5</v>
      </c>
      <c r="D38" s="5">
        <v>6</v>
      </c>
      <c r="E38" s="5" t="s">
        <v>136</v>
      </c>
      <c r="F38" s="5" t="s">
        <v>70</v>
      </c>
      <c r="G38" s="5" t="s">
        <v>62</v>
      </c>
      <c r="H38" s="5"/>
      <c r="I38" s="5"/>
      <c r="J38" s="5"/>
      <c r="K38" s="5" t="s">
        <v>119</v>
      </c>
      <c r="L38" s="5">
        <v>0</v>
      </c>
      <c r="M38" s="6">
        <v>1.45</v>
      </c>
      <c r="N38" s="5">
        <v>500</v>
      </c>
      <c r="O38" s="6" t="s">
        <v>256</v>
      </c>
      <c r="P38" s="5" t="s">
        <v>33</v>
      </c>
      <c r="Q38" s="5" t="s">
        <v>35</v>
      </c>
      <c r="R38" s="5" t="s">
        <v>35</v>
      </c>
      <c r="S38" s="5" t="s">
        <v>257</v>
      </c>
      <c r="T38" s="5"/>
      <c r="U38" s="5" t="s">
        <v>43</v>
      </c>
      <c r="V38" s="5"/>
      <c r="W38" s="5"/>
    </row>
    <row r="39" spans="1:23" ht="39.75" customHeight="1" x14ac:dyDescent="0.35">
      <c r="A39" s="2" t="s">
        <v>101</v>
      </c>
      <c r="B39" s="2" t="s">
        <v>25</v>
      </c>
      <c r="C39" s="2">
        <v>1.5</v>
      </c>
      <c r="D39" s="2">
        <v>6</v>
      </c>
      <c r="E39" s="2" t="s">
        <v>116</v>
      </c>
      <c r="F39" s="2" t="s">
        <v>70</v>
      </c>
      <c r="G39" s="2" t="s">
        <v>62</v>
      </c>
      <c r="H39" s="2" t="s">
        <v>29</v>
      </c>
      <c r="I39" s="2"/>
      <c r="J39" s="2" t="s">
        <v>31</v>
      </c>
      <c r="K39" s="2" t="s">
        <v>121</v>
      </c>
      <c r="L39" s="2">
        <v>3</v>
      </c>
      <c r="M39" s="3">
        <v>2</v>
      </c>
      <c r="N39" s="2">
        <v>500</v>
      </c>
      <c r="O39" s="3">
        <f t="shared" si="2"/>
        <v>4</v>
      </c>
      <c r="P39" s="2" t="s">
        <v>33</v>
      </c>
      <c r="Q39" s="2" t="s">
        <v>35</v>
      </c>
      <c r="R39" s="2" t="s">
        <v>35</v>
      </c>
      <c r="S39" s="2"/>
      <c r="T39" s="2"/>
      <c r="U39" s="2" t="s">
        <v>37</v>
      </c>
      <c r="V39" s="4" t="s">
        <v>77</v>
      </c>
      <c r="W39" s="2" t="s">
        <v>122</v>
      </c>
    </row>
    <row r="40" spans="1:23" ht="39.75" customHeight="1" x14ac:dyDescent="0.35">
      <c r="A40" s="5" t="s">
        <v>101</v>
      </c>
      <c r="B40" s="5" t="s">
        <v>25</v>
      </c>
      <c r="C40" s="5">
        <v>1.5</v>
      </c>
      <c r="D40" s="5">
        <v>6</v>
      </c>
      <c r="E40" s="5" t="s">
        <v>116</v>
      </c>
      <c r="F40" s="5" t="s">
        <v>70</v>
      </c>
      <c r="G40" s="5" t="s">
        <v>62</v>
      </c>
      <c r="H40" s="5" t="s">
        <v>29</v>
      </c>
      <c r="I40" s="5"/>
      <c r="J40" s="5" t="s">
        <v>31</v>
      </c>
      <c r="K40" s="5" t="s">
        <v>123</v>
      </c>
      <c r="L40" s="5">
        <v>0</v>
      </c>
      <c r="M40" s="6">
        <v>1.4</v>
      </c>
      <c r="N40" s="5">
        <v>500</v>
      </c>
      <c r="O40" s="6">
        <f t="shared" si="2"/>
        <v>2.8</v>
      </c>
      <c r="P40" s="5" t="s">
        <v>33</v>
      </c>
      <c r="Q40" s="5" t="s">
        <v>35</v>
      </c>
      <c r="R40" s="5" t="s">
        <v>35</v>
      </c>
      <c r="S40" s="5"/>
      <c r="T40" s="5"/>
      <c r="U40" s="5" t="s">
        <v>37</v>
      </c>
      <c r="V40" s="5" t="s">
        <v>124</v>
      </c>
      <c r="W40" s="5" t="s">
        <v>125</v>
      </c>
    </row>
    <row r="42" spans="1:23" ht="21.75" customHeight="1" x14ac:dyDescent="0.35">
      <c r="A42" s="11" t="s">
        <v>126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</row>
    <row r="43" spans="1:23" ht="30" customHeight="1" x14ac:dyDescent="0.35">
      <c r="A43" s="1" t="s">
        <v>1</v>
      </c>
      <c r="B43" s="1" t="s">
        <v>2</v>
      </c>
      <c r="C43" s="1" t="s">
        <v>3</v>
      </c>
      <c r="D43" s="1" t="s">
        <v>4</v>
      </c>
      <c r="E43" s="1" t="s">
        <v>5</v>
      </c>
      <c r="F43" s="1" t="s">
        <v>6</v>
      </c>
      <c r="G43" s="1" t="s">
        <v>7</v>
      </c>
      <c r="H43" s="1" t="s">
        <v>8</v>
      </c>
      <c r="I43" s="1" t="s">
        <v>9</v>
      </c>
      <c r="J43" s="1" t="s">
        <v>10</v>
      </c>
      <c r="K43" s="1" t="s">
        <v>11</v>
      </c>
      <c r="L43" s="1" t="s">
        <v>12</v>
      </c>
      <c r="M43" s="1" t="s">
        <v>13</v>
      </c>
      <c r="N43" s="1" t="s">
        <v>14</v>
      </c>
      <c r="O43" s="1" t="s">
        <v>15</v>
      </c>
      <c r="P43" s="1" t="s">
        <v>16</v>
      </c>
      <c r="Q43" s="1" t="s">
        <v>17</v>
      </c>
      <c r="R43" s="1" t="s">
        <v>18</v>
      </c>
      <c r="S43" s="1" t="s">
        <v>19</v>
      </c>
      <c r="T43" s="1" t="s">
        <v>20</v>
      </c>
      <c r="U43" s="1" t="s">
        <v>21</v>
      </c>
      <c r="V43" s="1" t="s">
        <v>22</v>
      </c>
      <c r="W43" s="1" t="s">
        <v>23</v>
      </c>
    </row>
    <row r="44" spans="1:23" ht="39.75" customHeight="1" x14ac:dyDescent="0.35">
      <c r="A44" s="2" t="s">
        <v>127</v>
      </c>
      <c r="B44" s="2" t="s">
        <v>25</v>
      </c>
      <c r="C44" s="2">
        <v>1.5</v>
      </c>
      <c r="D44" s="2">
        <v>6</v>
      </c>
      <c r="E44" s="2" t="s">
        <v>116</v>
      </c>
      <c r="F44" s="2" t="s">
        <v>102</v>
      </c>
      <c r="G44" s="2" t="s">
        <v>62</v>
      </c>
      <c r="H44" s="2" t="s">
        <v>29</v>
      </c>
      <c r="I44" s="2"/>
      <c r="J44" s="2" t="s">
        <v>31</v>
      </c>
      <c r="K44" s="2" t="s">
        <v>128</v>
      </c>
      <c r="L44" s="2">
        <v>2</v>
      </c>
      <c r="M44" s="3">
        <v>2.1</v>
      </c>
      <c r="N44" s="2">
        <v>350</v>
      </c>
      <c r="O44" s="3">
        <f t="shared" ref="O44:O50" si="3">IF(OR(M44="",N44="",N44=0),"",M44/(N44/1000))</f>
        <v>6.0000000000000009</v>
      </c>
      <c r="P44" s="2" t="s">
        <v>33</v>
      </c>
      <c r="Q44" s="2" t="s">
        <v>35</v>
      </c>
      <c r="R44" s="2" t="s">
        <v>35</v>
      </c>
      <c r="S44" s="2" t="s">
        <v>129</v>
      </c>
      <c r="T44" s="2"/>
      <c r="U44" s="2" t="s">
        <v>37</v>
      </c>
      <c r="V44" s="4" t="s">
        <v>47</v>
      </c>
      <c r="W44" s="2" t="s">
        <v>130</v>
      </c>
    </row>
    <row r="45" spans="1:23" ht="39.75" customHeight="1" x14ac:dyDescent="0.35">
      <c r="A45" s="7" t="s">
        <v>127</v>
      </c>
      <c r="B45" s="7" t="s">
        <v>25</v>
      </c>
      <c r="C45" s="7">
        <v>1.5</v>
      </c>
      <c r="D45" s="7">
        <v>6</v>
      </c>
      <c r="E45" s="7" t="s">
        <v>116</v>
      </c>
      <c r="F45" s="7" t="s">
        <v>102</v>
      </c>
      <c r="G45" s="7" t="s">
        <v>62</v>
      </c>
      <c r="H45" s="7" t="s">
        <v>29</v>
      </c>
      <c r="I45" s="7"/>
      <c r="J45" s="7" t="s">
        <v>31</v>
      </c>
      <c r="K45" s="7" t="s">
        <v>131</v>
      </c>
      <c r="L45" s="7">
        <v>4</v>
      </c>
      <c r="M45" s="8">
        <v>2.1</v>
      </c>
      <c r="N45" s="7">
        <v>350</v>
      </c>
      <c r="O45" s="8">
        <f t="shared" si="3"/>
        <v>6.0000000000000009</v>
      </c>
      <c r="P45" s="7" t="s">
        <v>33</v>
      </c>
      <c r="Q45" s="7" t="s">
        <v>35</v>
      </c>
      <c r="R45" s="7" t="s">
        <v>35</v>
      </c>
      <c r="S45" s="7" t="s">
        <v>132</v>
      </c>
      <c r="T45" s="7"/>
      <c r="U45" s="7" t="s">
        <v>37</v>
      </c>
      <c r="V45" s="4" t="s">
        <v>47</v>
      </c>
      <c r="W45" s="7" t="s">
        <v>133</v>
      </c>
    </row>
    <row r="46" spans="1:23" ht="39.75" customHeight="1" x14ac:dyDescent="0.35">
      <c r="A46" s="2" t="s">
        <v>127</v>
      </c>
      <c r="B46" s="2" t="s">
        <v>25</v>
      </c>
      <c r="C46" s="2">
        <v>1.5</v>
      </c>
      <c r="D46" s="2">
        <v>6</v>
      </c>
      <c r="E46" s="2" t="s">
        <v>116</v>
      </c>
      <c r="F46" s="2" t="s">
        <v>102</v>
      </c>
      <c r="G46" s="2" t="s">
        <v>62</v>
      </c>
      <c r="H46" s="2" t="s">
        <v>29</v>
      </c>
      <c r="I46" s="2"/>
      <c r="J46" s="2" t="s">
        <v>31</v>
      </c>
      <c r="K46" s="2" t="s">
        <v>134</v>
      </c>
      <c r="L46" s="2">
        <v>3</v>
      </c>
      <c r="M46" s="3">
        <v>2.1</v>
      </c>
      <c r="N46" s="2">
        <v>350</v>
      </c>
      <c r="O46" s="3">
        <f t="shared" si="3"/>
        <v>6.0000000000000009</v>
      </c>
      <c r="P46" s="2" t="s">
        <v>33</v>
      </c>
      <c r="Q46" s="2" t="s">
        <v>35</v>
      </c>
      <c r="R46" s="2" t="s">
        <v>35</v>
      </c>
      <c r="S46" s="2" t="s">
        <v>135</v>
      </c>
      <c r="T46" s="2"/>
      <c r="U46" s="2" t="s">
        <v>37</v>
      </c>
      <c r="V46" s="4" t="s">
        <v>47</v>
      </c>
      <c r="W46" s="2" t="s">
        <v>130</v>
      </c>
    </row>
    <row r="47" spans="1:23" ht="39.75" customHeight="1" x14ac:dyDescent="0.35">
      <c r="A47" s="7" t="s">
        <v>127</v>
      </c>
      <c r="B47" s="7" t="s">
        <v>25</v>
      </c>
      <c r="C47" s="7">
        <v>1.5</v>
      </c>
      <c r="D47" s="7">
        <v>6</v>
      </c>
      <c r="E47" s="7" t="s">
        <v>136</v>
      </c>
      <c r="F47" s="7" t="s">
        <v>70</v>
      </c>
      <c r="G47" s="7" t="s">
        <v>62</v>
      </c>
      <c r="H47" s="7" t="s">
        <v>29</v>
      </c>
      <c r="I47" s="7"/>
      <c r="J47" s="7" t="s">
        <v>31</v>
      </c>
      <c r="K47" s="7" t="s">
        <v>137</v>
      </c>
      <c r="L47" s="7">
        <v>1</v>
      </c>
      <c r="M47" s="8">
        <v>2.65</v>
      </c>
      <c r="N47" s="7">
        <v>500</v>
      </c>
      <c r="O47" s="8">
        <f t="shared" si="3"/>
        <v>5.3</v>
      </c>
      <c r="P47" s="7" t="s">
        <v>33</v>
      </c>
      <c r="Q47" s="7" t="s">
        <v>35</v>
      </c>
      <c r="R47" s="7" t="s">
        <v>35</v>
      </c>
      <c r="S47" s="7" t="s">
        <v>261</v>
      </c>
      <c r="T47" s="7"/>
      <c r="U47" s="7" t="s">
        <v>37</v>
      </c>
      <c r="V47" s="4" t="s">
        <v>77</v>
      </c>
      <c r="W47" s="7" t="s">
        <v>138</v>
      </c>
    </row>
    <row r="48" spans="1:23" ht="39.75" customHeight="1" x14ac:dyDescent="0.35">
      <c r="A48" s="2" t="s">
        <v>127</v>
      </c>
      <c r="B48" s="2" t="s">
        <v>25</v>
      </c>
      <c r="C48" s="2">
        <v>1.5</v>
      </c>
      <c r="D48" s="2">
        <v>6</v>
      </c>
      <c r="E48" s="2" t="s">
        <v>136</v>
      </c>
      <c r="F48" s="2" t="s">
        <v>70</v>
      </c>
      <c r="G48" s="2" t="s">
        <v>28</v>
      </c>
      <c r="H48" s="2" t="s">
        <v>29</v>
      </c>
      <c r="I48" s="2"/>
      <c r="J48" s="2" t="s">
        <v>31</v>
      </c>
      <c r="K48" s="2" t="s">
        <v>139</v>
      </c>
      <c r="L48" s="2">
        <v>3</v>
      </c>
      <c r="M48" s="3">
        <v>1.95</v>
      </c>
      <c r="N48" s="2">
        <v>500</v>
      </c>
      <c r="O48" s="3">
        <f t="shared" si="3"/>
        <v>3.9</v>
      </c>
      <c r="P48" s="2" t="s">
        <v>33</v>
      </c>
      <c r="Q48" s="2" t="s">
        <v>35</v>
      </c>
      <c r="R48" s="2" t="s">
        <v>35</v>
      </c>
      <c r="S48" s="2" t="s">
        <v>140</v>
      </c>
      <c r="T48" s="2"/>
      <c r="U48" s="2" t="s">
        <v>37</v>
      </c>
      <c r="V48" s="4" t="s">
        <v>77</v>
      </c>
      <c r="W48" s="2" t="s">
        <v>141</v>
      </c>
    </row>
    <row r="49" spans="1:23" ht="39.75" customHeight="1" x14ac:dyDescent="0.35">
      <c r="A49" s="7" t="s">
        <v>127</v>
      </c>
      <c r="B49" s="7" t="s">
        <v>25</v>
      </c>
      <c r="C49" s="7">
        <v>1.5</v>
      </c>
      <c r="D49" s="7">
        <v>6</v>
      </c>
      <c r="E49" s="7" t="s">
        <v>136</v>
      </c>
      <c r="F49" s="7" t="s">
        <v>70</v>
      </c>
      <c r="G49" s="7" t="s">
        <v>28</v>
      </c>
      <c r="H49" s="7" t="s">
        <v>29</v>
      </c>
      <c r="I49" s="7"/>
      <c r="J49" s="7" t="s">
        <v>31</v>
      </c>
      <c r="K49" s="7" t="s">
        <v>142</v>
      </c>
      <c r="L49" s="7">
        <v>1</v>
      </c>
      <c r="M49" s="8">
        <v>1.95</v>
      </c>
      <c r="N49" s="7">
        <v>500</v>
      </c>
      <c r="O49" s="8">
        <f t="shared" si="3"/>
        <v>3.9</v>
      </c>
      <c r="P49" s="7" t="s">
        <v>33</v>
      </c>
      <c r="Q49" s="7" t="s">
        <v>35</v>
      </c>
      <c r="R49" s="7" t="s">
        <v>35</v>
      </c>
      <c r="S49" s="7" t="s">
        <v>143</v>
      </c>
      <c r="T49" s="7"/>
      <c r="U49" s="7" t="s">
        <v>37</v>
      </c>
      <c r="V49" s="4" t="s">
        <v>38</v>
      </c>
      <c r="W49" s="7" t="s">
        <v>141</v>
      </c>
    </row>
    <row r="50" spans="1:23" ht="39.75" customHeight="1" x14ac:dyDescent="0.35">
      <c r="A50" s="2" t="s">
        <v>127</v>
      </c>
      <c r="B50" s="2" t="s">
        <v>25</v>
      </c>
      <c r="C50" s="2">
        <v>1.5</v>
      </c>
      <c r="D50" s="2">
        <v>6</v>
      </c>
      <c r="E50" s="2" t="s">
        <v>136</v>
      </c>
      <c r="F50" s="2" t="s">
        <v>70</v>
      </c>
      <c r="G50" s="2" t="s">
        <v>62</v>
      </c>
      <c r="H50" s="2" t="s">
        <v>29</v>
      </c>
      <c r="I50" s="2"/>
      <c r="J50" s="2" t="s">
        <v>31</v>
      </c>
      <c r="K50" s="2" t="s">
        <v>262</v>
      </c>
      <c r="L50" s="2">
        <v>3</v>
      </c>
      <c r="M50" s="3">
        <v>2</v>
      </c>
      <c r="N50" s="2">
        <v>500</v>
      </c>
      <c r="O50" s="3">
        <f t="shared" si="3"/>
        <v>4</v>
      </c>
      <c r="P50" s="2" t="s">
        <v>33</v>
      </c>
      <c r="Q50" s="2" t="s">
        <v>35</v>
      </c>
      <c r="R50" s="2" t="s">
        <v>35</v>
      </c>
      <c r="S50" s="2" t="s">
        <v>263</v>
      </c>
      <c r="T50" s="2"/>
      <c r="U50" s="2" t="s">
        <v>37</v>
      </c>
      <c r="V50" s="9" t="s">
        <v>144</v>
      </c>
      <c r="W50" s="2" t="s">
        <v>145</v>
      </c>
    </row>
    <row r="52" spans="1:23" ht="21.75" hidden="1" customHeight="1" outlineLevel="1" x14ac:dyDescent="0.35">
      <c r="A52" s="11" t="s">
        <v>146</v>
      </c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</row>
    <row r="53" spans="1:23" ht="30" hidden="1" customHeight="1" outlineLevel="1" x14ac:dyDescent="0.35">
      <c r="A53" s="1" t="s">
        <v>1</v>
      </c>
      <c r="B53" s="1" t="s">
        <v>2</v>
      </c>
      <c r="C53" s="1" t="s">
        <v>3</v>
      </c>
      <c r="D53" s="1" t="s">
        <v>4</v>
      </c>
      <c r="E53" s="1" t="s">
        <v>5</v>
      </c>
      <c r="F53" s="1" t="s">
        <v>6</v>
      </c>
      <c r="G53" s="1" t="s">
        <v>7</v>
      </c>
      <c r="H53" s="1" t="s">
        <v>8</v>
      </c>
      <c r="I53" s="1" t="s">
        <v>9</v>
      </c>
      <c r="J53" s="1" t="s">
        <v>10</v>
      </c>
      <c r="K53" s="1" t="s">
        <v>11</v>
      </c>
      <c r="L53" s="1" t="s">
        <v>12</v>
      </c>
      <c r="M53" s="1" t="s">
        <v>13</v>
      </c>
      <c r="N53" s="1" t="s">
        <v>14</v>
      </c>
      <c r="O53" s="1" t="s">
        <v>15</v>
      </c>
      <c r="P53" s="1" t="s">
        <v>16</v>
      </c>
      <c r="Q53" s="1" t="s">
        <v>17</v>
      </c>
      <c r="R53" s="1" t="s">
        <v>18</v>
      </c>
      <c r="S53" s="1" t="s">
        <v>19</v>
      </c>
      <c r="T53" s="1" t="s">
        <v>20</v>
      </c>
      <c r="U53" s="1" t="s">
        <v>21</v>
      </c>
      <c r="V53" s="1" t="s">
        <v>22</v>
      </c>
      <c r="W53" s="1" t="s">
        <v>23</v>
      </c>
    </row>
    <row r="54" spans="1:23" ht="39.75" hidden="1" customHeight="1" outlineLevel="1" x14ac:dyDescent="0.35">
      <c r="A54" s="2" t="s">
        <v>147</v>
      </c>
      <c r="B54" s="2" t="s">
        <v>25</v>
      </c>
      <c r="C54" s="2">
        <v>1.5</v>
      </c>
      <c r="D54" s="2">
        <v>6</v>
      </c>
      <c r="E54" s="2" t="s">
        <v>26</v>
      </c>
      <c r="F54" s="2" t="s">
        <v>70</v>
      </c>
      <c r="G54" s="2" t="s">
        <v>62</v>
      </c>
      <c r="H54" s="2" t="s">
        <v>29</v>
      </c>
      <c r="I54" s="2"/>
      <c r="J54" s="2" t="s">
        <v>31</v>
      </c>
      <c r="K54" s="2" t="s">
        <v>148</v>
      </c>
      <c r="L54" s="2">
        <v>2</v>
      </c>
      <c r="M54" s="3">
        <v>1.95</v>
      </c>
      <c r="N54" s="2">
        <v>250</v>
      </c>
      <c r="O54" s="3">
        <f t="shared" ref="O54:O59" si="4">IF(OR(M54="",N54="",N54=0),"",M54/(N54/1000))</f>
        <v>7.8</v>
      </c>
      <c r="P54" s="2" t="s">
        <v>33</v>
      </c>
      <c r="Q54" s="2" t="s">
        <v>35</v>
      </c>
      <c r="R54" s="2" t="s">
        <v>35</v>
      </c>
      <c r="S54" s="2" t="s">
        <v>149</v>
      </c>
      <c r="T54" s="2"/>
      <c r="U54" s="2" t="s">
        <v>37</v>
      </c>
      <c r="V54" s="9" t="s">
        <v>144</v>
      </c>
      <c r="W54" s="2" t="s">
        <v>150</v>
      </c>
    </row>
    <row r="55" spans="1:23" ht="39.75" hidden="1" customHeight="1" outlineLevel="1" x14ac:dyDescent="0.35">
      <c r="A55" s="7" t="s">
        <v>147</v>
      </c>
      <c r="B55" s="7" t="s">
        <v>25</v>
      </c>
      <c r="C55" s="7">
        <v>1.5</v>
      </c>
      <c r="D55" s="7">
        <v>6</v>
      </c>
      <c r="E55" s="7" t="s">
        <v>26</v>
      </c>
      <c r="F55" s="7" t="s">
        <v>70</v>
      </c>
      <c r="G55" s="7" t="s">
        <v>62</v>
      </c>
      <c r="H55" s="7" t="s">
        <v>29</v>
      </c>
      <c r="I55" s="7"/>
      <c r="J55" s="7" t="s">
        <v>31</v>
      </c>
      <c r="K55" s="7" t="s">
        <v>151</v>
      </c>
      <c r="L55" s="7">
        <v>2</v>
      </c>
      <c r="M55" s="8">
        <v>1.95</v>
      </c>
      <c r="N55" s="7">
        <v>250</v>
      </c>
      <c r="O55" s="8">
        <f t="shared" si="4"/>
        <v>7.8</v>
      </c>
      <c r="P55" s="7" t="s">
        <v>33</v>
      </c>
      <c r="Q55" s="7" t="s">
        <v>35</v>
      </c>
      <c r="R55" s="7" t="s">
        <v>35</v>
      </c>
      <c r="S55" s="7" t="s">
        <v>149</v>
      </c>
      <c r="T55" s="7"/>
      <c r="U55" s="7" t="s">
        <v>37</v>
      </c>
      <c r="V55" s="9" t="s">
        <v>152</v>
      </c>
      <c r="W55" s="7" t="s">
        <v>153</v>
      </c>
    </row>
    <row r="56" spans="1:23" ht="39.75" hidden="1" customHeight="1" outlineLevel="1" x14ac:dyDescent="0.35">
      <c r="A56" s="2" t="s">
        <v>147</v>
      </c>
      <c r="B56" s="2" t="s">
        <v>25</v>
      </c>
      <c r="C56" s="2">
        <v>1.5</v>
      </c>
      <c r="D56" s="2">
        <v>6</v>
      </c>
      <c r="E56" s="2" t="s">
        <v>26</v>
      </c>
      <c r="F56" s="2" t="s">
        <v>70</v>
      </c>
      <c r="G56" s="2" t="s">
        <v>62</v>
      </c>
      <c r="H56" s="2" t="s">
        <v>29</v>
      </c>
      <c r="I56" s="2"/>
      <c r="J56" s="2" t="s">
        <v>31</v>
      </c>
      <c r="K56" s="2" t="s">
        <v>154</v>
      </c>
      <c r="L56" s="2">
        <v>1</v>
      </c>
      <c r="M56" s="3">
        <v>1.95</v>
      </c>
      <c r="N56" s="2">
        <v>250</v>
      </c>
      <c r="O56" s="3">
        <f t="shared" si="4"/>
        <v>7.8</v>
      </c>
      <c r="P56" s="2" t="s">
        <v>155</v>
      </c>
      <c r="Q56" s="2" t="s">
        <v>35</v>
      </c>
      <c r="R56" s="2" t="s">
        <v>35</v>
      </c>
      <c r="S56" s="2"/>
      <c r="T56" s="2"/>
      <c r="U56" s="2" t="s">
        <v>37</v>
      </c>
      <c r="V56" s="9" t="s">
        <v>156</v>
      </c>
      <c r="W56" s="2" t="s">
        <v>157</v>
      </c>
    </row>
    <row r="57" spans="1:23" ht="39.75" hidden="1" customHeight="1" outlineLevel="1" x14ac:dyDescent="0.35">
      <c r="A57" s="7" t="s">
        <v>147</v>
      </c>
      <c r="B57" s="7" t="s">
        <v>25</v>
      </c>
      <c r="C57" s="7">
        <v>1.5</v>
      </c>
      <c r="D57" s="7">
        <v>6</v>
      </c>
      <c r="E57" s="7" t="s">
        <v>26</v>
      </c>
      <c r="F57" s="7" t="s">
        <v>70</v>
      </c>
      <c r="G57" s="7" t="s">
        <v>62</v>
      </c>
      <c r="H57" s="7" t="s">
        <v>29</v>
      </c>
      <c r="I57" s="7"/>
      <c r="J57" s="7" t="s">
        <v>31</v>
      </c>
      <c r="K57" s="7" t="s">
        <v>158</v>
      </c>
      <c r="L57" s="7">
        <v>1</v>
      </c>
      <c r="M57" s="8">
        <v>2.4</v>
      </c>
      <c r="N57" s="7">
        <v>250</v>
      </c>
      <c r="O57" s="8">
        <f t="shared" si="4"/>
        <v>9.6</v>
      </c>
      <c r="P57" s="7" t="s">
        <v>155</v>
      </c>
      <c r="Q57" s="7" t="s">
        <v>35</v>
      </c>
      <c r="R57" s="7" t="s">
        <v>35</v>
      </c>
      <c r="S57" s="7" t="s">
        <v>159</v>
      </c>
      <c r="T57" s="7"/>
      <c r="U57" s="7" t="s">
        <v>37</v>
      </c>
      <c r="V57" s="9" t="s">
        <v>156</v>
      </c>
      <c r="W57" s="7" t="s">
        <v>160</v>
      </c>
    </row>
    <row r="58" spans="1:23" ht="39.75" hidden="1" customHeight="1" outlineLevel="1" x14ac:dyDescent="0.35">
      <c r="A58" s="2" t="s">
        <v>147</v>
      </c>
      <c r="B58" s="2" t="s">
        <v>25</v>
      </c>
      <c r="C58" s="2">
        <v>1.5</v>
      </c>
      <c r="D58" s="2">
        <v>6</v>
      </c>
      <c r="E58" s="2" t="s">
        <v>26</v>
      </c>
      <c r="F58" s="2" t="s">
        <v>70</v>
      </c>
      <c r="G58" s="2" t="s">
        <v>62</v>
      </c>
      <c r="H58" s="2" t="s">
        <v>29</v>
      </c>
      <c r="I58" s="2"/>
      <c r="J58" s="2" t="s">
        <v>31</v>
      </c>
      <c r="K58" s="2" t="s">
        <v>161</v>
      </c>
      <c r="L58" s="2">
        <v>1</v>
      </c>
      <c r="M58" s="3">
        <v>1.95</v>
      </c>
      <c r="N58" s="2">
        <v>250</v>
      </c>
      <c r="O58" s="3">
        <f t="shared" si="4"/>
        <v>7.8</v>
      </c>
      <c r="P58" s="2" t="s">
        <v>155</v>
      </c>
      <c r="Q58" s="2" t="s">
        <v>35</v>
      </c>
      <c r="R58" s="2" t="s">
        <v>35</v>
      </c>
      <c r="S58" s="2" t="s">
        <v>162</v>
      </c>
      <c r="T58" s="2"/>
      <c r="U58" s="2" t="s">
        <v>37</v>
      </c>
      <c r="V58" s="9" t="s">
        <v>156</v>
      </c>
      <c r="W58" s="2" t="s">
        <v>163</v>
      </c>
    </row>
    <row r="59" spans="1:23" ht="39.75" hidden="1" customHeight="1" outlineLevel="1" x14ac:dyDescent="0.35">
      <c r="A59" s="7" t="s">
        <v>147</v>
      </c>
      <c r="B59" s="7" t="s">
        <v>25</v>
      </c>
      <c r="C59" s="7">
        <v>1.5</v>
      </c>
      <c r="D59" s="7">
        <v>6</v>
      </c>
      <c r="E59" s="7" t="s">
        <v>26</v>
      </c>
      <c r="F59" s="7" t="s">
        <v>70</v>
      </c>
      <c r="G59" s="7" t="s">
        <v>62</v>
      </c>
      <c r="H59" s="7" t="s">
        <v>29</v>
      </c>
      <c r="I59" s="7"/>
      <c r="J59" s="7" t="s">
        <v>31</v>
      </c>
      <c r="K59" s="7" t="s">
        <v>164</v>
      </c>
      <c r="L59" s="7">
        <v>1</v>
      </c>
      <c r="M59" s="8">
        <v>1.95</v>
      </c>
      <c r="N59" s="7">
        <v>250</v>
      </c>
      <c r="O59" s="8">
        <f t="shared" si="4"/>
        <v>7.8</v>
      </c>
      <c r="P59" s="7" t="s">
        <v>155</v>
      </c>
      <c r="Q59" s="7" t="s">
        <v>35</v>
      </c>
      <c r="R59" s="7" t="s">
        <v>35</v>
      </c>
      <c r="S59" s="7" t="s">
        <v>159</v>
      </c>
      <c r="T59" s="7"/>
      <c r="U59" s="7" t="s">
        <v>37</v>
      </c>
      <c r="V59" s="9" t="s">
        <v>156</v>
      </c>
      <c r="W59" s="7" t="s">
        <v>165</v>
      </c>
    </row>
    <row r="60" spans="1:23" collapsed="1" x14ac:dyDescent="0.35"/>
    <row r="61" spans="1:23" ht="21.75" customHeight="1" x14ac:dyDescent="0.35">
      <c r="A61" s="11" t="s">
        <v>166</v>
      </c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</row>
    <row r="62" spans="1:23" ht="30" customHeight="1" x14ac:dyDescent="0.35">
      <c r="A62" s="1" t="s">
        <v>1</v>
      </c>
      <c r="B62" s="1" t="s">
        <v>2</v>
      </c>
      <c r="C62" s="1" t="s">
        <v>3</v>
      </c>
      <c r="D62" s="1" t="s">
        <v>4</v>
      </c>
      <c r="E62" s="1" t="s">
        <v>5</v>
      </c>
      <c r="F62" s="1" t="s">
        <v>6</v>
      </c>
      <c r="G62" s="1" t="s">
        <v>7</v>
      </c>
      <c r="H62" s="1" t="s">
        <v>8</v>
      </c>
      <c r="I62" s="1" t="s">
        <v>9</v>
      </c>
      <c r="J62" s="1" t="s">
        <v>10</v>
      </c>
      <c r="K62" s="1" t="s">
        <v>11</v>
      </c>
      <c r="L62" s="1" t="s">
        <v>12</v>
      </c>
      <c r="M62" s="1" t="s">
        <v>13</v>
      </c>
      <c r="N62" s="1" t="s">
        <v>14</v>
      </c>
      <c r="O62" s="1" t="s">
        <v>15</v>
      </c>
      <c r="P62" s="1" t="s">
        <v>16</v>
      </c>
      <c r="Q62" s="1" t="s">
        <v>17</v>
      </c>
      <c r="R62" s="1" t="s">
        <v>18</v>
      </c>
      <c r="S62" s="1" t="s">
        <v>19</v>
      </c>
      <c r="T62" s="1" t="s">
        <v>20</v>
      </c>
      <c r="U62" s="1" t="s">
        <v>21</v>
      </c>
      <c r="V62" s="1" t="s">
        <v>22</v>
      </c>
      <c r="W62" s="1" t="s">
        <v>23</v>
      </c>
    </row>
    <row r="63" spans="1:23" ht="39.75" customHeight="1" x14ac:dyDescent="0.35">
      <c r="A63" s="2" t="s">
        <v>167</v>
      </c>
      <c r="B63" s="2" t="s">
        <v>168</v>
      </c>
      <c r="C63" s="2">
        <v>1</v>
      </c>
      <c r="D63" s="2">
        <v>6</v>
      </c>
      <c r="E63" s="2" t="s">
        <v>26</v>
      </c>
      <c r="F63" s="2" t="s">
        <v>27</v>
      </c>
      <c r="G63" s="2" t="s">
        <v>28</v>
      </c>
      <c r="H63" s="2" t="s">
        <v>29</v>
      </c>
      <c r="I63" s="2"/>
      <c r="J63" s="2" t="s">
        <v>31</v>
      </c>
      <c r="K63" s="2" t="s">
        <v>169</v>
      </c>
      <c r="L63" s="2">
        <v>2</v>
      </c>
      <c r="M63" s="3">
        <v>4</v>
      </c>
      <c r="N63" s="2">
        <v>300</v>
      </c>
      <c r="O63" s="3">
        <f>IF(OR(M63="",N63="",N63=0),"",M63/(N63/1000))</f>
        <v>13.333333333333334</v>
      </c>
      <c r="P63" s="2" t="s">
        <v>33</v>
      </c>
      <c r="Q63" s="2" t="s">
        <v>34</v>
      </c>
      <c r="R63" s="2" t="s">
        <v>18</v>
      </c>
      <c r="S63" s="2" t="s">
        <v>170</v>
      </c>
      <c r="T63" s="2"/>
      <c r="U63" s="2" t="s">
        <v>37</v>
      </c>
      <c r="V63" s="4" t="s">
        <v>47</v>
      </c>
      <c r="W63" s="2" t="s">
        <v>171</v>
      </c>
    </row>
    <row r="64" spans="1:23" ht="39.75" customHeight="1" x14ac:dyDescent="0.35">
      <c r="A64" s="7" t="s">
        <v>167</v>
      </c>
      <c r="B64" s="7" t="s">
        <v>168</v>
      </c>
      <c r="C64" s="7">
        <v>1</v>
      </c>
      <c r="D64" s="7">
        <v>6</v>
      </c>
      <c r="E64" s="7" t="s">
        <v>26</v>
      </c>
      <c r="F64" s="7" t="s">
        <v>27</v>
      </c>
      <c r="G64" s="7" t="s">
        <v>28</v>
      </c>
      <c r="H64" s="7" t="s">
        <v>29</v>
      </c>
      <c r="I64" s="7" t="s">
        <v>30</v>
      </c>
      <c r="J64" s="7" t="s">
        <v>31</v>
      </c>
      <c r="K64" s="7" t="s">
        <v>172</v>
      </c>
      <c r="L64" s="7">
        <v>2</v>
      </c>
      <c r="M64" s="8">
        <v>4</v>
      </c>
      <c r="N64" s="7">
        <v>300</v>
      </c>
      <c r="O64" s="8">
        <f>IF(OR(M64="",N64="",N64=0),"",M64/(N64/1000))</f>
        <v>13.333333333333334</v>
      </c>
      <c r="P64" s="7" t="s">
        <v>33</v>
      </c>
      <c r="Q64" s="7" t="s">
        <v>34</v>
      </c>
      <c r="R64" s="7" t="s">
        <v>18</v>
      </c>
      <c r="S64" s="7" t="s">
        <v>173</v>
      </c>
      <c r="T64" s="7"/>
      <c r="U64" s="7" t="s">
        <v>37</v>
      </c>
      <c r="V64" s="4" t="s">
        <v>47</v>
      </c>
      <c r="W64" s="7" t="s">
        <v>171</v>
      </c>
    </row>
    <row r="65" spans="1:23" ht="39.75" customHeight="1" x14ac:dyDescent="0.35">
      <c r="A65" s="2" t="s">
        <v>167</v>
      </c>
      <c r="B65" s="2" t="s">
        <v>168</v>
      </c>
      <c r="C65" s="2">
        <v>1</v>
      </c>
      <c r="D65" s="2">
        <v>6</v>
      </c>
      <c r="E65" s="2" t="s">
        <v>54</v>
      </c>
      <c r="F65" s="2" t="s">
        <v>27</v>
      </c>
      <c r="G65" s="2" t="s">
        <v>28</v>
      </c>
      <c r="H65" s="2" t="s">
        <v>29</v>
      </c>
      <c r="I65" s="2" t="s">
        <v>30</v>
      </c>
      <c r="J65" s="2" t="s">
        <v>31</v>
      </c>
      <c r="K65" s="2" t="s">
        <v>174</v>
      </c>
      <c r="L65" s="2">
        <v>4</v>
      </c>
      <c r="M65" s="3">
        <v>4</v>
      </c>
      <c r="N65" s="2">
        <v>300</v>
      </c>
      <c r="O65" s="3">
        <f>IF(OR(M65="",N65="",N65=0),"",M65/(N65/1000))</f>
        <v>13.333333333333334</v>
      </c>
      <c r="P65" s="2" t="s">
        <v>33</v>
      </c>
      <c r="Q65" s="2" t="s">
        <v>34</v>
      </c>
      <c r="R65" s="2" t="s">
        <v>18</v>
      </c>
      <c r="S65" s="2" t="s">
        <v>175</v>
      </c>
      <c r="T65" s="2"/>
      <c r="U65" s="2" t="s">
        <v>37</v>
      </c>
      <c r="V65" s="4" t="s">
        <v>47</v>
      </c>
      <c r="W65" s="2" t="s">
        <v>176</v>
      </c>
    </row>
    <row r="67" spans="1:23" ht="21.75" customHeight="1" x14ac:dyDescent="0.35">
      <c r="A67" s="11" t="s">
        <v>177</v>
      </c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</row>
    <row r="68" spans="1:23" ht="30" customHeight="1" x14ac:dyDescent="0.35">
      <c r="A68" s="1" t="s">
        <v>1</v>
      </c>
      <c r="B68" s="1" t="s">
        <v>2</v>
      </c>
      <c r="C68" s="1" t="s">
        <v>3</v>
      </c>
      <c r="D68" s="1" t="s">
        <v>4</v>
      </c>
      <c r="E68" s="1" t="s">
        <v>5</v>
      </c>
      <c r="F68" s="1" t="s">
        <v>6</v>
      </c>
      <c r="G68" s="1" t="s">
        <v>7</v>
      </c>
      <c r="H68" s="1" t="s">
        <v>8</v>
      </c>
      <c r="I68" s="1" t="s">
        <v>9</v>
      </c>
      <c r="J68" s="1" t="s">
        <v>10</v>
      </c>
      <c r="K68" s="1" t="s">
        <v>11</v>
      </c>
      <c r="L68" s="1" t="s">
        <v>12</v>
      </c>
      <c r="M68" s="1" t="s">
        <v>13</v>
      </c>
      <c r="N68" s="1" t="s">
        <v>14</v>
      </c>
      <c r="O68" s="1" t="s">
        <v>15</v>
      </c>
      <c r="P68" s="1" t="s">
        <v>16</v>
      </c>
      <c r="Q68" s="1" t="s">
        <v>17</v>
      </c>
      <c r="R68" s="1" t="s">
        <v>18</v>
      </c>
      <c r="S68" s="1" t="s">
        <v>19</v>
      </c>
      <c r="T68" s="1" t="s">
        <v>20</v>
      </c>
      <c r="U68" s="1" t="s">
        <v>21</v>
      </c>
      <c r="V68" s="1" t="s">
        <v>22</v>
      </c>
      <c r="W68" s="1" t="s">
        <v>23</v>
      </c>
    </row>
    <row r="69" spans="1:23" ht="39.75" customHeight="1" x14ac:dyDescent="0.35">
      <c r="A69" s="2" t="s">
        <v>178</v>
      </c>
      <c r="B69" s="2" t="s">
        <v>168</v>
      </c>
      <c r="C69" s="2">
        <v>1.2</v>
      </c>
      <c r="D69" s="2">
        <v>6</v>
      </c>
      <c r="E69" s="2" t="s">
        <v>69</v>
      </c>
      <c r="F69" s="2" t="s">
        <v>27</v>
      </c>
      <c r="G69" s="2" t="s">
        <v>28</v>
      </c>
      <c r="H69" s="2" t="s">
        <v>29</v>
      </c>
      <c r="I69" s="2" t="s">
        <v>30</v>
      </c>
      <c r="J69" s="2" t="s">
        <v>31</v>
      </c>
      <c r="K69" s="2" t="s">
        <v>179</v>
      </c>
      <c r="L69" s="2">
        <v>4</v>
      </c>
      <c r="M69" s="3">
        <v>4.75</v>
      </c>
      <c r="N69" s="2">
        <v>500</v>
      </c>
      <c r="O69" s="3">
        <f t="shared" ref="O69:O74" si="5">IF(OR(M69="",N69="",N69=0),"",M69/(N69/1000))</f>
        <v>9.5</v>
      </c>
      <c r="P69" s="2" t="s">
        <v>33</v>
      </c>
      <c r="Q69" s="2" t="s">
        <v>34</v>
      </c>
      <c r="R69" s="2" t="s">
        <v>35</v>
      </c>
      <c r="S69" s="2" t="s">
        <v>180</v>
      </c>
      <c r="T69" s="2"/>
      <c r="U69" s="2" t="s">
        <v>37</v>
      </c>
      <c r="V69" s="4" t="s">
        <v>47</v>
      </c>
      <c r="W69" s="2" t="s">
        <v>181</v>
      </c>
    </row>
    <row r="70" spans="1:23" ht="39.75" customHeight="1" x14ac:dyDescent="0.35">
      <c r="A70" s="7" t="s">
        <v>178</v>
      </c>
      <c r="B70" s="7" t="s">
        <v>168</v>
      </c>
      <c r="C70" s="7">
        <v>1.2</v>
      </c>
      <c r="D70" s="7">
        <v>6</v>
      </c>
      <c r="E70" s="7" t="s">
        <v>69</v>
      </c>
      <c r="F70" s="7" t="s">
        <v>27</v>
      </c>
      <c r="G70" s="7" t="s">
        <v>28</v>
      </c>
      <c r="H70" s="7" t="s">
        <v>29</v>
      </c>
      <c r="I70" s="7" t="s">
        <v>30</v>
      </c>
      <c r="J70" s="7" t="s">
        <v>31</v>
      </c>
      <c r="K70" s="7" t="s">
        <v>182</v>
      </c>
      <c r="L70" s="7">
        <v>4</v>
      </c>
      <c r="M70" s="8">
        <v>4.25</v>
      </c>
      <c r="N70" s="7">
        <v>500</v>
      </c>
      <c r="O70" s="8">
        <f t="shared" si="5"/>
        <v>8.5</v>
      </c>
      <c r="P70" s="7" t="s">
        <v>33</v>
      </c>
      <c r="Q70" s="7" t="s">
        <v>34</v>
      </c>
      <c r="R70" s="7" t="s">
        <v>35</v>
      </c>
      <c r="S70" s="7" t="s">
        <v>183</v>
      </c>
      <c r="T70" s="7"/>
      <c r="U70" s="7" t="s">
        <v>37</v>
      </c>
      <c r="V70" s="4" t="s">
        <v>47</v>
      </c>
      <c r="W70" s="7" t="s">
        <v>184</v>
      </c>
    </row>
    <row r="71" spans="1:23" ht="39.75" customHeight="1" x14ac:dyDescent="0.35">
      <c r="A71" s="2" t="s">
        <v>178</v>
      </c>
      <c r="B71" s="2" t="s">
        <v>168</v>
      </c>
      <c r="C71" s="2">
        <v>1.2</v>
      </c>
      <c r="D71" s="2">
        <v>6</v>
      </c>
      <c r="E71" s="2" t="s">
        <v>116</v>
      </c>
      <c r="F71" s="2" t="s">
        <v>102</v>
      </c>
      <c r="G71" s="2" t="s">
        <v>62</v>
      </c>
      <c r="H71" s="2" t="s">
        <v>29</v>
      </c>
      <c r="I71" s="2"/>
      <c r="J71" s="2" t="s">
        <v>31</v>
      </c>
      <c r="K71" s="2" t="s">
        <v>185</v>
      </c>
      <c r="L71" s="2">
        <v>2</v>
      </c>
      <c r="M71" s="3">
        <v>2.1</v>
      </c>
      <c r="N71" s="2">
        <v>750</v>
      </c>
      <c r="O71" s="3">
        <f t="shared" si="5"/>
        <v>2.8000000000000003</v>
      </c>
      <c r="P71" s="2" t="s">
        <v>33</v>
      </c>
      <c r="Q71" s="2" t="s">
        <v>35</v>
      </c>
      <c r="R71" s="2" t="s">
        <v>245</v>
      </c>
      <c r="S71" s="2" t="s">
        <v>129</v>
      </c>
      <c r="T71" s="2"/>
      <c r="U71" s="2" t="s">
        <v>37</v>
      </c>
      <c r="V71" s="4" t="s">
        <v>77</v>
      </c>
      <c r="W71" s="2" t="s">
        <v>186</v>
      </c>
    </row>
    <row r="72" spans="1:23" ht="39.75" customHeight="1" x14ac:dyDescent="0.35">
      <c r="A72" s="7" t="s">
        <v>178</v>
      </c>
      <c r="B72" s="7" t="s">
        <v>168</v>
      </c>
      <c r="C72" s="7">
        <v>1.2</v>
      </c>
      <c r="D72" s="7">
        <v>6</v>
      </c>
      <c r="E72" s="7" t="s">
        <v>116</v>
      </c>
      <c r="F72" s="7" t="s">
        <v>102</v>
      </c>
      <c r="G72" s="7" t="s">
        <v>62</v>
      </c>
      <c r="H72" s="7" t="s">
        <v>29</v>
      </c>
      <c r="I72" s="7"/>
      <c r="J72" s="7" t="s">
        <v>31</v>
      </c>
      <c r="K72" s="7" t="s">
        <v>187</v>
      </c>
      <c r="L72" s="7">
        <v>1</v>
      </c>
      <c r="M72" s="8">
        <v>2.1</v>
      </c>
      <c r="N72" s="7">
        <v>750</v>
      </c>
      <c r="O72" s="8">
        <f t="shared" si="5"/>
        <v>2.8000000000000003</v>
      </c>
      <c r="P72" s="7" t="s">
        <v>33</v>
      </c>
      <c r="Q72" s="7" t="s">
        <v>35</v>
      </c>
      <c r="R72" s="7" t="s">
        <v>245</v>
      </c>
      <c r="S72" s="7" t="s">
        <v>129</v>
      </c>
      <c r="T72" s="7"/>
      <c r="U72" s="7" t="s">
        <v>37</v>
      </c>
      <c r="V72" s="4" t="s">
        <v>77</v>
      </c>
      <c r="W72" s="7" t="s">
        <v>186</v>
      </c>
    </row>
    <row r="73" spans="1:23" ht="39.75" customHeight="1" x14ac:dyDescent="0.35">
      <c r="A73" s="2" t="s">
        <v>178</v>
      </c>
      <c r="B73" s="2" t="s">
        <v>168</v>
      </c>
      <c r="C73" s="2">
        <v>1.2</v>
      </c>
      <c r="D73" s="2">
        <v>6</v>
      </c>
      <c r="E73" s="2" t="s">
        <v>116</v>
      </c>
      <c r="F73" s="2" t="s">
        <v>102</v>
      </c>
      <c r="G73" s="2" t="s">
        <v>62</v>
      </c>
      <c r="H73" s="2" t="s">
        <v>29</v>
      </c>
      <c r="I73" s="2"/>
      <c r="J73" s="2" t="s">
        <v>31</v>
      </c>
      <c r="K73" s="2" t="s">
        <v>188</v>
      </c>
      <c r="L73" s="2">
        <v>4</v>
      </c>
      <c r="M73" s="3">
        <v>2.2000000000000002</v>
      </c>
      <c r="N73" s="2">
        <v>750</v>
      </c>
      <c r="O73" s="3">
        <f t="shared" si="5"/>
        <v>2.9333333333333336</v>
      </c>
      <c r="P73" s="2" t="s">
        <v>33</v>
      </c>
      <c r="Q73" s="2" t="s">
        <v>35</v>
      </c>
      <c r="R73" s="2" t="s">
        <v>245</v>
      </c>
      <c r="S73" s="2" t="s">
        <v>129</v>
      </c>
      <c r="T73" s="2"/>
      <c r="U73" s="2" t="s">
        <v>37</v>
      </c>
      <c r="V73" s="4" t="s">
        <v>47</v>
      </c>
      <c r="W73" s="2" t="s">
        <v>189</v>
      </c>
    </row>
    <row r="74" spans="1:23" ht="39.75" customHeight="1" x14ac:dyDescent="0.35">
      <c r="A74" s="7" t="s">
        <v>178</v>
      </c>
      <c r="B74" s="7" t="s">
        <v>168</v>
      </c>
      <c r="C74" s="7">
        <v>1.2</v>
      </c>
      <c r="D74" s="7">
        <v>6</v>
      </c>
      <c r="E74" s="7" t="s">
        <v>116</v>
      </c>
      <c r="F74" s="7" t="s">
        <v>102</v>
      </c>
      <c r="G74" s="7" t="s">
        <v>62</v>
      </c>
      <c r="H74" s="7" t="s">
        <v>29</v>
      </c>
      <c r="I74" s="7"/>
      <c r="J74" s="7" t="s">
        <v>31</v>
      </c>
      <c r="K74" s="7" t="s">
        <v>190</v>
      </c>
      <c r="L74" s="7">
        <v>1</v>
      </c>
      <c r="M74" s="8">
        <v>2.1</v>
      </c>
      <c r="N74" s="7">
        <v>750</v>
      </c>
      <c r="O74" s="8">
        <f t="shared" si="5"/>
        <v>2.8000000000000003</v>
      </c>
      <c r="P74" s="7" t="s">
        <v>33</v>
      </c>
      <c r="Q74" s="7" t="s">
        <v>35</v>
      </c>
      <c r="R74" s="7" t="s">
        <v>245</v>
      </c>
      <c r="S74" s="7" t="s">
        <v>129</v>
      </c>
      <c r="T74" s="7"/>
      <c r="U74" s="7" t="s">
        <v>37</v>
      </c>
      <c r="V74" s="4" t="s">
        <v>77</v>
      </c>
      <c r="W74" s="7" t="s">
        <v>186</v>
      </c>
    </row>
    <row r="76" spans="1:23" ht="21.75" customHeight="1" x14ac:dyDescent="0.35">
      <c r="A76" s="12" t="s">
        <v>264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</row>
    <row r="77" spans="1:23" ht="30" customHeight="1" x14ac:dyDescent="0.35">
      <c r="A77" s="1" t="s">
        <v>1</v>
      </c>
      <c r="B77" s="1" t="s">
        <v>2</v>
      </c>
      <c r="C77" s="1" t="s">
        <v>3</v>
      </c>
      <c r="D77" s="1" t="s">
        <v>4</v>
      </c>
      <c r="E77" s="1" t="s">
        <v>5</v>
      </c>
      <c r="F77" s="1" t="s">
        <v>6</v>
      </c>
      <c r="G77" s="1" t="s">
        <v>7</v>
      </c>
      <c r="H77" s="1" t="s">
        <v>8</v>
      </c>
      <c r="I77" s="1" t="s">
        <v>9</v>
      </c>
      <c r="J77" s="1" t="s">
        <v>10</v>
      </c>
      <c r="K77" s="1" t="s">
        <v>11</v>
      </c>
      <c r="L77" s="1" t="s">
        <v>12</v>
      </c>
      <c r="M77" s="1" t="s">
        <v>13</v>
      </c>
      <c r="N77" s="1" t="s">
        <v>14</v>
      </c>
      <c r="O77" s="1" t="s">
        <v>15</v>
      </c>
      <c r="P77" s="1" t="s">
        <v>16</v>
      </c>
      <c r="Q77" s="1" t="s">
        <v>17</v>
      </c>
      <c r="R77" s="1" t="s">
        <v>18</v>
      </c>
      <c r="S77" s="1" t="s">
        <v>19</v>
      </c>
      <c r="T77" s="1" t="s">
        <v>20</v>
      </c>
      <c r="U77" s="1" t="s">
        <v>21</v>
      </c>
      <c r="V77" s="1" t="s">
        <v>22</v>
      </c>
      <c r="W77" s="1" t="s">
        <v>23</v>
      </c>
    </row>
    <row r="78" spans="1:23" ht="39.75" customHeight="1" x14ac:dyDescent="0.35">
      <c r="A78" s="2" t="s">
        <v>265</v>
      </c>
      <c r="B78" s="2" t="s">
        <v>168</v>
      </c>
      <c r="C78" s="2">
        <v>1.2</v>
      </c>
      <c r="D78" s="2">
        <v>6</v>
      </c>
      <c r="E78" s="2" t="s">
        <v>136</v>
      </c>
      <c r="F78" s="2" t="s">
        <v>70</v>
      </c>
      <c r="G78" s="2" t="s">
        <v>62</v>
      </c>
      <c r="H78" s="2" t="s">
        <v>29</v>
      </c>
      <c r="I78" s="2"/>
      <c r="J78" s="2" t="s">
        <v>31</v>
      </c>
      <c r="K78" s="2" t="s">
        <v>191</v>
      </c>
      <c r="L78" s="2">
        <v>2</v>
      </c>
      <c r="M78" s="3">
        <v>2.65</v>
      </c>
      <c r="N78" s="2">
        <v>750</v>
      </c>
      <c r="O78" s="3">
        <f t="shared" ref="O78:O85" si="6">IF(OR(M78="",N78="",N78=0),"",M78/(N78/1000))</f>
        <v>3.5333333333333332</v>
      </c>
      <c r="P78" s="2" t="s">
        <v>33</v>
      </c>
      <c r="Q78" s="2" t="s">
        <v>35</v>
      </c>
      <c r="R78" s="2" t="s">
        <v>245</v>
      </c>
      <c r="S78" s="2"/>
      <c r="T78" s="2"/>
      <c r="U78" s="2" t="s">
        <v>37</v>
      </c>
      <c r="V78" s="4" t="s">
        <v>38</v>
      </c>
      <c r="W78" s="2" t="s">
        <v>192</v>
      </c>
    </row>
    <row r="79" spans="1:23" ht="39.75" customHeight="1" x14ac:dyDescent="0.35">
      <c r="A79" s="7" t="s">
        <v>265</v>
      </c>
      <c r="B79" s="7" t="s">
        <v>168</v>
      </c>
      <c r="C79" s="7">
        <v>1.2</v>
      </c>
      <c r="D79" s="7">
        <v>6</v>
      </c>
      <c r="E79" s="7" t="s">
        <v>136</v>
      </c>
      <c r="F79" s="7" t="s">
        <v>70</v>
      </c>
      <c r="G79" s="7" t="s">
        <v>62</v>
      </c>
      <c r="H79" s="7" t="s">
        <v>29</v>
      </c>
      <c r="I79" s="7"/>
      <c r="J79" s="7" t="s">
        <v>31</v>
      </c>
      <c r="K79" s="7" t="s">
        <v>193</v>
      </c>
      <c r="L79" s="7">
        <v>2</v>
      </c>
      <c r="M79" s="8">
        <v>2.65</v>
      </c>
      <c r="N79" s="7">
        <v>750</v>
      </c>
      <c r="O79" s="8">
        <f t="shared" si="6"/>
        <v>3.5333333333333332</v>
      </c>
      <c r="P79" s="7" t="s">
        <v>33</v>
      </c>
      <c r="Q79" s="7" t="s">
        <v>35</v>
      </c>
      <c r="R79" s="7" t="s">
        <v>245</v>
      </c>
      <c r="S79" s="7"/>
      <c r="T79" s="7"/>
      <c r="U79" s="7" t="s">
        <v>37</v>
      </c>
      <c r="V79" s="4" t="s">
        <v>38</v>
      </c>
      <c r="W79" s="7" t="s">
        <v>192</v>
      </c>
    </row>
    <row r="80" spans="1:23" ht="39.75" customHeight="1" x14ac:dyDescent="0.35">
      <c r="A80" s="2" t="s">
        <v>265</v>
      </c>
      <c r="B80" s="2" t="s">
        <v>168</v>
      </c>
      <c r="C80" s="2">
        <v>1.2</v>
      </c>
      <c r="D80" s="2">
        <v>6</v>
      </c>
      <c r="E80" s="2" t="s">
        <v>136</v>
      </c>
      <c r="F80" s="2" t="s">
        <v>70</v>
      </c>
      <c r="G80" s="2" t="s">
        <v>62</v>
      </c>
      <c r="H80" s="2" t="s">
        <v>29</v>
      </c>
      <c r="I80" s="2"/>
      <c r="J80" s="2" t="s">
        <v>31</v>
      </c>
      <c r="K80" s="2" t="s">
        <v>194</v>
      </c>
      <c r="L80" s="2">
        <v>2</v>
      </c>
      <c r="M80" s="3">
        <v>2.9</v>
      </c>
      <c r="N80" s="2">
        <v>750</v>
      </c>
      <c r="O80" s="3">
        <f t="shared" si="6"/>
        <v>3.8666666666666667</v>
      </c>
      <c r="P80" s="2" t="s">
        <v>33</v>
      </c>
      <c r="Q80" s="2" t="s">
        <v>35</v>
      </c>
      <c r="R80" s="2" t="s">
        <v>245</v>
      </c>
      <c r="S80" s="2" t="s">
        <v>195</v>
      </c>
      <c r="T80" s="2"/>
      <c r="U80" s="2" t="s">
        <v>37</v>
      </c>
      <c r="V80" s="4" t="s">
        <v>38</v>
      </c>
      <c r="W80" s="2" t="s">
        <v>196</v>
      </c>
    </row>
    <row r="81" spans="1:23" ht="39.75" customHeight="1" x14ac:dyDescent="0.35">
      <c r="A81" s="7" t="s">
        <v>265</v>
      </c>
      <c r="B81" s="7" t="s">
        <v>168</v>
      </c>
      <c r="C81" s="7">
        <v>1.2</v>
      </c>
      <c r="D81" s="7">
        <v>6</v>
      </c>
      <c r="E81" s="7" t="s">
        <v>136</v>
      </c>
      <c r="F81" s="7" t="s">
        <v>70</v>
      </c>
      <c r="G81" s="7" t="s">
        <v>62</v>
      </c>
      <c r="H81" s="7" t="s">
        <v>29</v>
      </c>
      <c r="I81" s="7"/>
      <c r="J81" s="7" t="s">
        <v>31</v>
      </c>
      <c r="K81" s="7" t="s">
        <v>197</v>
      </c>
      <c r="L81" s="7">
        <v>2</v>
      </c>
      <c r="M81" s="8">
        <v>2.4</v>
      </c>
      <c r="N81" s="7">
        <v>750</v>
      </c>
      <c r="O81" s="8">
        <f t="shared" si="6"/>
        <v>3.1999999999999997</v>
      </c>
      <c r="P81" s="7" t="s">
        <v>33</v>
      </c>
      <c r="Q81" s="7" t="s">
        <v>35</v>
      </c>
      <c r="R81" s="7" t="s">
        <v>35</v>
      </c>
      <c r="S81" s="7" t="s">
        <v>198</v>
      </c>
      <c r="T81" s="7"/>
      <c r="U81" s="7" t="s">
        <v>37</v>
      </c>
      <c r="V81" s="4" t="s">
        <v>124</v>
      </c>
      <c r="W81" s="7" t="s">
        <v>196</v>
      </c>
    </row>
    <row r="82" spans="1:23" ht="39.75" customHeight="1" x14ac:dyDescent="0.35">
      <c r="A82" s="2" t="s">
        <v>265</v>
      </c>
      <c r="B82" s="2" t="s">
        <v>168</v>
      </c>
      <c r="C82" s="2">
        <v>1.2</v>
      </c>
      <c r="D82" s="2">
        <v>6</v>
      </c>
      <c r="E82" s="2" t="s">
        <v>199</v>
      </c>
      <c r="F82" s="2" t="s">
        <v>70</v>
      </c>
      <c r="G82" s="2" t="s">
        <v>28</v>
      </c>
      <c r="H82" s="2" t="s">
        <v>29</v>
      </c>
      <c r="I82" s="2"/>
      <c r="J82" s="2" t="s">
        <v>31</v>
      </c>
      <c r="K82" s="2" t="s">
        <v>200</v>
      </c>
      <c r="L82" s="2">
        <v>2</v>
      </c>
      <c r="M82" s="3">
        <v>2.65</v>
      </c>
      <c r="N82" s="2">
        <v>750</v>
      </c>
      <c r="O82" s="3">
        <f t="shared" si="6"/>
        <v>3.5333333333333332</v>
      </c>
      <c r="P82" s="2" t="s">
        <v>33</v>
      </c>
      <c r="Q82" s="2" t="s">
        <v>35</v>
      </c>
      <c r="R82" s="2" t="s">
        <v>245</v>
      </c>
      <c r="S82" s="2" t="s">
        <v>201</v>
      </c>
      <c r="T82" s="2"/>
      <c r="U82" s="2" t="s">
        <v>37</v>
      </c>
      <c r="V82" s="9" t="s">
        <v>144</v>
      </c>
      <c r="W82" s="2" t="s">
        <v>202</v>
      </c>
    </row>
    <row r="83" spans="1:23" ht="39.75" customHeight="1" x14ac:dyDescent="0.35">
      <c r="A83" s="7" t="s">
        <v>265</v>
      </c>
      <c r="B83" s="7" t="s">
        <v>168</v>
      </c>
      <c r="C83" s="7">
        <v>1.2</v>
      </c>
      <c r="D83" s="7">
        <v>6</v>
      </c>
      <c r="E83" s="7" t="s">
        <v>266</v>
      </c>
      <c r="F83" s="7" t="s">
        <v>70</v>
      </c>
      <c r="G83" s="7" t="s">
        <v>270</v>
      </c>
      <c r="H83" s="7" t="s">
        <v>29</v>
      </c>
      <c r="I83" s="7"/>
      <c r="J83" s="7" t="s">
        <v>31</v>
      </c>
      <c r="K83" s="7" t="s">
        <v>117</v>
      </c>
      <c r="L83" s="7">
        <v>2</v>
      </c>
      <c r="M83" s="8">
        <v>2.1</v>
      </c>
      <c r="N83" s="7">
        <v>750</v>
      </c>
      <c r="O83" s="8">
        <f t="shared" si="6"/>
        <v>2.8000000000000003</v>
      </c>
      <c r="P83" s="7" t="s">
        <v>33</v>
      </c>
      <c r="Q83" s="7" t="s">
        <v>35</v>
      </c>
      <c r="R83" s="7" t="s">
        <v>245</v>
      </c>
      <c r="S83" s="7" t="s">
        <v>267</v>
      </c>
      <c r="T83" s="7"/>
      <c r="U83" s="7"/>
      <c r="V83" s="10"/>
      <c r="W83" s="7"/>
    </row>
    <row r="84" spans="1:23" ht="39.75" customHeight="1" x14ac:dyDescent="0.35">
      <c r="A84" s="2" t="s">
        <v>265</v>
      </c>
      <c r="B84" s="2" t="s">
        <v>168</v>
      </c>
      <c r="C84" s="2">
        <v>1.2</v>
      </c>
      <c r="D84" s="2">
        <v>6</v>
      </c>
      <c r="E84" s="2" t="s">
        <v>268</v>
      </c>
      <c r="F84" s="2" t="s">
        <v>70</v>
      </c>
      <c r="G84" s="2" t="s">
        <v>270</v>
      </c>
      <c r="H84" s="2" t="s">
        <v>29</v>
      </c>
      <c r="I84" s="2"/>
      <c r="J84" s="2" t="s">
        <v>31</v>
      </c>
      <c r="K84" s="2" t="s">
        <v>31</v>
      </c>
      <c r="L84" s="2" t="s">
        <v>31</v>
      </c>
      <c r="M84" s="3">
        <v>2.1</v>
      </c>
      <c r="N84" s="2">
        <v>750</v>
      </c>
      <c r="O84" s="3">
        <f t="shared" si="6"/>
        <v>2.8000000000000003</v>
      </c>
      <c r="P84" s="2" t="s">
        <v>33</v>
      </c>
      <c r="Q84" s="2" t="s">
        <v>35</v>
      </c>
      <c r="R84" s="2" t="s">
        <v>245</v>
      </c>
      <c r="S84" s="2"/>
      <c r="T84" s="2"/>
      <c r="U84" s="2"/>
      <c r="V84" s="10"/>
      <c r="W84" s="2"/>
    </row>
    <row r="85" spans="1:23" ht="39.75" customHeight="1" x14ac:dyDescent="0.35">
      <c r="A85" s="7" t="s">
        <v>265</v>
      </c>
      <c r="B85" s="7" t="s">
        <v>168</v>
      </c>
      <c r="C85" s="7">
        <v>1.2</v>
      </c>
      <c r="D85" s="7">
        <v>6</v>
      </c>
      <c r="E85" s="7" t="s">
        <v>269</v>
      </c>
      <c r="F85" s="7" t="s">
        <v>70</v>
      </c>
      <c r="G85" s="7" t="s">
        <v>270</v>
      </c>
      <c r="H85" s="7" t="s">
        <v>29</v>
      </c>
      <c r="I85" s="7" t="s">
        <v>271</v>
      </c>
      <c r="J85" s="7" t="s">
        <v>31</v>
      </c>
      <c r="K85" s="7" t="s">
        <v>272</v>
      </c>
      <c r="L85" s="7">
        <v>2</v>
      </c>
      <c r="M85" s="8">
        <v>3.2</v>
      </c>
      <c r="N85" s="7">
        <v>750</v>
      </c>
      <c r="O85" s="8">
        <f t="shared" si="6"/>
        <v>4.2666666666666666</v>
      </c>
      <c r="P85" s="7" t="s">
        <v>33</v>
      </c>
      <c r="Q85" s="7" t="s">
        <v>35</v>
      </c>
      <c r="R85" s="7" t="s">
        <v>35</v>
      </c>
      <c r="S85" s="7"/>
      <c r="T85" s="7"/>
      <c r="U85" s="7"/>
      <c r="V85" s="10"/>
      <c r="W85" s="7"/>
    </row>
    <row r="87" spans="1:23" ht="21.75" customHeight="1" x14ac:dyDescent="0.35">
      <c r="A87" s="11" t="s">
        <v>203</v>
      </c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</row>
    <row r="88" spans="1:23" ht="30" customHeight="1" x14ac:dyDescent="0.35">
      <c r="A88" s="1" t="s">
        <v>1</v>
      </c>
      <c r="B88" s="1" t="s">
        <v>2</v>
      </c>
      <c r="C88" s="1" t="s">
        <v>3</v>
      </c>
      <c r="D88" s="1" t="s">
        <v>4</v>
      </c>
      <c r="E88" s="1" t="s">
        <v>5</v>
      </c>
      <c r="F88" s="1" t="s">
        <v>6</v>
      </c>
      <c r="G88" s="1" t="s">
        <v>7</v>
      </c>
      <c r="H88" s="1" t="s">
        <v>8</v>
      </c>
      <c r="I88" s="1" t="s">
        <v>9</v>
      </c>
      <c r="J88" s="1" t="s">
        <v>10</v>
      </c>
      <c r="K88" s="1" t="s">
        <v>11</v>
      </c>
      <c r="L88" s="1" t="s">
        <v>12</v>
      </c>
      <c r="M88" s="1" t="s">
        <v>13</v>
      </c>
      <c r="N88" s="1" t="s">
        <v>14</v>
      </c>
      <c r="O88" s="1" t="s">
        <v>15</v>
      </c>
      <c r="P88" s="1" t="s">
        <v>16</v>
      </c>
      <c r="Q88" s="1" t="s">
        <v>17</v>
      </c>
      <c r="R88" s="1" t="s">
        <v>18</v>
      </c>
      <c r="S88" s="1" t="s">
        <v>19</v>
      </c>
      <c r="T88" s="1" t="s">
        <v>20</v>
      </c>
      <c r="U88" s="1" t="s">
        <v>21</v>
      </c>
      <c r="V88" s="1" t="s">
        <v>22</v>
      </c>
      <c r="W88" s="1" t="s">
        <v>23</v>
      </c>
    </row>
    <row r="89" spans="1:23" ht="39.75" customHeight="1" x14ac:dyDescent="0.35">
      <c r="A89" s="2" t="s">
        <v>204</v>
      </c>
      <c r="B89" s="2" t="s">
        <v>205</v>
      </c>
      <c r="C89" s="2">
        <v>2</v>
      </c>
      <c r="D89" s="2">
        <v>5</v>
      </c>
      <c r="E89" s="2" t="s">
        <v>26</v>
      </c>
      <c r="F89" s="2" t="s">
        <v>61</v>
      </c>
      <c r="G89" s="2" t="s">
        <v>62</v>
      </c>
      <c r="H89" s="2" t="s">
        <v>29</v>
      </c>
      <c r="I89" s="2" t="s">
        <v>63</v>
      </c>
      <c r="J89" s="2" t="s">
        <v>31</v>
      </c>
      <c r="K89" s="2" t="s">
        <v>206</v>
      </c>
      <c r="L89" s="2">
        <v>4</v>
      </c>
      <c r="M89" s="3">
        <v>3.7</v>
      </c>
      <c r="N89" s="2">
        <v>1000</v>
      </c>
      <c r="O89" s="3">
        <f>IF(OR(M89="",N89="",N89=0),"",M89/(N89/1000))</f>
        <v>3.7</v>
      </c>
      <c r="P89" s="2" t="s">
        <v>33</v>
      </c>
      <c r="Q89" s="2" t="s">
        <v>273</v>
      </c>
      <c r="R89" s="2" t="s">
        <v>245</v>
      </c>
      <c r="S89" s="2" t="s">
        <v>207</v>
      </c>
      <c r="T89" s="2"/>
      <c r="U89" s="2" t="s">
        <v>37</v>
      </c>
      <c r="V89" s="4" t="s">
        <v>47</v>
      </c>
      <c r="W89" s="2" t="s">
        <v>208</v>
      </c>
    </row>
    <row r="90" spans="1:23" ht="39.75" customHeight="1" x14ac:dyDescent="0.35">
      <c r="A90" s="7" t="s">
        <v>204</v>
      </c>
      <c r="B90" s="7" t="s">
        <v>205</v>
      </c>
      <c r="C90" s="7">
        <v>2</v>
      </c>
      <c r="D90" s="7">
        <v>5</v>
      </c>
      <c r="E90" s="7" t="s">
        <v>26</v>
      </c>
      <c r="F90" s="7" t="s">
        <v>61</v>
      </c>
      <c r="G90" s="7" t="s">
        <v>62</v>
      </c>
      <c r="H90" s="7" t="s">
        <v>29</v>
      </c>
      <c r="I90" s="7" t="s">
        <v>63</v>
      </c>
      <c r="J90" s="7" t="s">
        <v>31</v>
      </c>
      <c r="K90" s="7" t="s">
        <v>209</v>
      </c>
      <c r="L90" s="7">
        <v>4</v>
      </c>
      <c r="M90" s="8">
        <v>3.7</v>
      </c>
      <c r="N90" s="7">
        <v>1000</v>
      </c>
      <c r="O90" s="8">
        <f>IF(OR(M90="",N90="",N90=0),"",M90/(N90/1000))</f>
        <v>3.7</v>
      </c>
      <c r="P90" s="7" t="s">
        <v>33</v>
      </c>
      <c r="Q90" s="7" t="s">
        <v>273</v>
      </c>
      <c r="R90" s="7" t="s">
        <v>245</v>
      </c>
      <c r="S90" s="7" t="s">
        <v>210</v>
      </c>
      <c r="T90" s="7"/>
      <c r="U90" s="7" t="s">
        <v>37</v>
      </c>
      <c r="V90" s="4" t="s">
        <v>47</v>
      </c>
      <c r="W90" s="7" t="s">
        <v>208</v>
      </c>
    </row>
    <row r="91" spans="1:23" ht="39.75" customHeight="1" x14ac:dyDescent="0.35">
      <c r="A91" s="2" t="s">
        <v>204</v>
      </c>
      <c r="B91" s="2" t="s">
        <v>205</v>
      </c>
      <c r="C91" s="2">
        <v>2</v>
      </c>
      <c r="D91" s="2">
        <v>5</v>
      </c>
      <c r="E91" s="2" t="s">
        <v>54</v>
      </c>
      <c r="F91" s="2" t="s">
        <v>61</v>
      </c>
      <c r="G91" s="2" t="s">
        <v>62</v>
      </c>
      <c r="H91" s="2" t="s">
        <v>29</v>
      </c>
      <c r="I91" s="2" t="s">
        <v>63</v>
      </c>
      <c r="J91" s="2" t="s">
        <v>31</v>
      </c>
      <c r="K91" s="2" t="s">
        <v>211</v>
      </c>
      <c r="L91" s="2">
        <v>4</v>
      </c>
      <c r="M91" s="3">
        <v>3.7</v>
      </c>
      <c r="N91" s="2">
        <v>1000</v>
      </c>
      <c r="O91" s="3">
        <f>IF(OR(M91="",N91="",N91=0),"",M91/(N91/1000))</f>
        <v>3.7</v>
      </c>
      <c r="P91" s="2" t="s">
        <v>33</v>
      </c>
      <c r="Q91" s="2" t="s">
        <v>98</v>
      </c>
      <c r="R91" s="2" t="s">
        <v>245</v>
      </c>
      <c r="S91" s="2" t="s">
        <v>212</v>
      </c>
      <c r="T91" s="2"/>
      <c r="U91" s="2" t="s">
        <v>37</v>
      </c>
      <c r="V91" s="4" t="s">
        <v>47</v>
      </c>
      <c r="W91" s="2" t="s">
        <v>208</v>
      </c>
    </row>
    <row r="92" spans="1:23" ht="39.75" customHeight="1" x14ac:dyDescent="0.35">
      <c r="A92" s="7" t="s">
        <v>204</v>
      </c>
      <c r="B92" s="7" t="s">
        <v>205</v>
      </c>
      <c r="C92" s="7">
        <v>2</v>
      </c>
      <c r="D92" s="7">
        <v>5</v>
      </c>
      <c r="E92" s="7" t="s">
        <v>54</v>
      </c>
      <c r="F92" s="7" t="s">
        <v>70</v>
      </c>
      <c r="G92" s="7" t="s">
        <v>62</v>
      </c>
      <c r="H92" s="7" t="s">
        <v>29</v>
      </c>
      <c r="I92" s="7" t="s">
        <v>63</v>
      </c>
      <c r="J92" s="7" t="s">
        <v>31</v>
      </c>
      <c r="K92" s="7" t="s">
        <v>213</v>
      </c>
      <c r="L92" s="7">
        <v>4</v>
      </c>
      <c r="M92" s="7">
        <v>3.7</v>
      </c>
      <c r="N92" s="7">
        <v>1000</v>
      </c>
      <c r="O92" s="8">
        <f>IF(OR(M92="",N92="",N92=0),"",M92/(N92/1000))</f>
        <v>3.7</v>
      </c>
      <c r="P92" s="7" t="s">
        <v>33</v>
      </c>
      <c r="Q92" s="7" t="s">
        <v>65</v>
      </c>
      <c r="R92" s="7" t="s">
        <v>245</v>
      </c>
      <c r="S92" s="7" t="s">
        <v>214</v>
      </c>
      <c r="T92" s="7"/>
      <c r="U92" s="7" t="s">
        <v>37</v>
      </c>
      <c r="V92" s="4" t="s">
        <v>47</v>
      </c>
      <c r="W92" s="7" t="s">
        <v>208</v>
      </c>
    </row>
    <row r="94" spans="1:23" ht="21.75" customHeight="1" x14ac:dyDescent="0.35">
      <c r="A94" s="11" t="s">
        <v>215</v>
      </c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</row>
    <row r="95" spans="1:23" ht="30" customHeight="1" x14ac:dyDescent="0.35">
      <c r="A95" s="1" t="s">
        <v>1</v>
      </c>
      <c r="B95" s="1" t="s">
        <v>2</v>
      </c>
      <c r="C95" s="1" t="s">
        <v>3</v>
      </c>
      <c r="D95" s="1" t="s">
        <v>4</v>
      </c>
      <c r="E95" s="1" t="s">
        <v>5</v>
      </c>
      <c r="F95" s="1" t="s">
        <v>6</v>
      </c>
      <c r="G95" s="1" t="s">
        <v>7</v>
      </c>
      <c r="H95" s="1" t="s">
        <v>8</v>
      </c>
      <c r="I95" s="1" t="s">
        <v>9</v>
      </c>
      <c r="J95" s="1" t="s">
        <v>10</v>
      </c>
      <c r="K95" s="1" t="s">
        <v>11</v>
      </c>
      <c r="L95" s="1" t="s">
        <v>12</v>
      </c>
      <c r="M95" s="1" t="s">
        <v>13</v>
      </c>
      <c r="N95" s="1" t="s">
        <v>14</v>
      </c>
      <c r="O95" s="1" t="s">
        <v>15</v>
      </c>
      <c r="P95" s="1" t="s">
        <v>16</v>
      </c>
      <c r="Q95" s="1" t="s">
        <v>17</v>
      </c>
      <c r="R95" s="1" t="s">
        <v>18</v>
      </c>
      <c r="S95" s="1" t="s">
        <v>19</v>
      </c>
      <c r="T95" s="1" t="s">
        <v>20</v>
      </c>
      <c r="U95" s="1" t="s">
        <v>21</v>
      </c>
      <c r="V95" s="1" t="s">
        <v>22</v>
      </c>
      <c r="W95" s="1" t="s">
        <v>23</v>
      </c>
    </row>
    <row r="96" spans="1:23" ht="39.75" customHeight="1" x14ac:dyDescent="0.35">
      <c r="A96" s="2" t="s">
        <v>216</v>
      </c>
      <c r="B96" s="2" t="s">
        <v>205</v>
      </c>
      <c r="C96" s="2">
        <v>2</v>
      </c>
      <c r="D96" s="2">
        <v>5</v>
      </c>
      <c r="E96" s="2" t="s">
        <v>54</v>
      </c>
      <c r="F96" s="2" t="s">
        <v>61</v>
      </c>
      <c r="G96" s="2" t="s">
        <v>28</v>
      </c>
      <c r="H96" s="2" t="s">
        <v>29</v>
      </c>
      <c r="I96" s="2"/>
      <c r="J96" s="2" t="s">
        <v>31</v>
      </c>
      <c r="K96" s="2" t="s">
        <v>217</v>
      </c>
      <c r="L96" s="2">
        <v>3</v>
      </c>
      <c r="M96" s="3">
        <v>2.5</v>
      </c>
      <c r="N96" s="2">
        <v>1000</v>
      </c>
      <c r="O96" s="3">
        <f t="shared" ref="O96:O102" si="7">IF(OR(M96="",N96="",N96=0),"",M96/(N96/1000))</f>
        <v>2.5</v>
      </c>
      <c r="P96" s="2" t="s">
        <v>218</v>
      </c>
      <c r="Q96" s="2" t="s">
        <v>219</v>
      </c>
      <c r="R96" s="2" t="s">
        <v>35</v>
      </c>
      <c r="S96" s="2" t="s">
        <v>220</v>
      </c>
      <c r="T96" s="2"/>
      <c r="U96" s="2" t="s">
        <v>37</v>
      </c>
      <c r="V96" s="4" t="s">
        <v>47</v>
      </c>
      <c r="W96" s="2" t="s">
        <v>221</v>
      </c>
    </row>
    <row r="97" spans="1:23" ht="39.75" customHeight="1" x14ac:dyDescent="0.35">
      <c r="A97" s="7" t="s">
        <v>216</v>
      </c>
      <c r="B97" s="7" t="s">
        <v>205</v>
      </c>
      <c r="C97" s="7">
        <v>2</v>
      </c>
      <c r="D97" s="7">
        <v>5</v>
      </c>
      <c r="E97" s="7" t="s">
        <v>54</v>
      </c>
      <c r="F97" s="7" t="s">
        <v>61</v>
      </c>
      <c r="G97" s="7" t="s">
        <v>28</v>
      </c>
      <c r="H97" s="7" t="s">
        <v>29</v>
      </c>
      <c r="I97" s="7"/>
      <c r="J97" s="7" t="s">
        <v>31</v>
      </c>
      <c r="K97" s="7" t="s">
        <v>222</v>
      </c>
      <c r="L97" s="7">
        <v>1</v>
      </c>
      <c r="M97" s="8">
        <v>2.5</v>
      </c>
      <c r="N97" s="7">
        <v>1000</v>
      </c>
      <c r="O97" s="8">
        <f t="shared" si="7"/>
        <v>2.5</v>
      </c>
      <c r="P97" s="7" t="s">
        <v>218</v>
      </c>
      <c r="Q97" s="7" t="s">
        <v>219</v>
      </c>
      <c r="R97" s="7" t="s">
        <v>35</v>
      </c>
      <c r="S97" s="7" t="s">
        <v>220</v>
      </c>
      <c r="T97" s="7"/>
      <c r="U97" s="7" t="s">
        <v>37</v>
      </c>
      <c r="V97" s="4" t="s">
        <v>47</v>
      </c>
      <c r="W97" s="7" t="s">
        <v>221</v>
      </c>
    </row>
    <row r="98" spans="1:23" ht="39.75" customHeight="1" x14ac:dyDescent="0.35">
      <c r="A98" s="2" t="s">
        <v>216</v>
      </c>
      <c r="B98" s="2" t="s">
        <v>205</v>
      </c>
      <c r="C98" s="2">
        <v>2</v>
      </c>
      <c r="D98" s="2">
        <v>5</v>
      </c>
      <c r="E98" s="2" t="s">
        <v>54</v>
      </c>
      <c r="F98" s="2" t="s">
        <v>61</v>
      </c>
      <c r="G98" s="2" t="s">
        <v>28</v>
      </c>
      <c r="H98" s="2" t="s">
        <v>29</v>
      </c>
      <c r="I98" s="2"/>
      <c r="J98" s="2" t="s">
        <v>31</v>
      </c>
      <c r="K98" s="2" t="s">
        <v>223</v>
      </c>
      <c r="L98" s="2">
        <v>3</v>
      </c>
      <c r="M98" s="3">
        <v>2.5</v>
      </c>
      <c r="N98" s="2">
        <v>1000</v>
      </c>
      <c r="O98" s="3">
        <f t="shared" si="7"/>
        <v>2.5</v>
      </c>
      <c r="P98" s="2" t="s">
        <v>218</v>
      </c>
      <c r="Q98" s="2" t="s">
        <v>98</v>
      </c>
      <c r="R98" s="2" t="s">
        <v>35</v>
      </c>
      <c r="S98" s="2" t="s">
        <v>224</v>
      </c>
      <c r="T98" s="2"/>
      <c r="U98" s="2" t="s">
        <v>37</v>
      </c>
      <c r="V98" s="4" t="s">
        <v>47</v>
      </c>
      <c r="W98" s="2" t="s">
        <v>221</v>
      </c>
    </row>
    <row r="99" spans="1:23" ht="39.75" customHeight="1" x14ac:dyDescent="0.35">
      <c r="A99" s="7" t="s">
        <v>216</v>
      </c>
      <c r="B99" s="7" t="s">
        <v>205</v>
      </c>
      <c r="C99" s="7">
        <v>2</v>
      </c>
      <c r="D99" s="7">
        <v>5</v>
      </c>
      <c r="E99" s="7" t="s">
        <v>69</v>
      </c>
      <c r="F99" s="7" t="s">
        <v>61</v>
      </c>
      <c r="G99" s="7" t="s">
        <v>28</v>
      </c>
      <c r="H99" s="7" t="s">
        <v>29</v>
      </c>
      <c r="I99" s="7"/>
      <c r="J99" s="7" t="s">
        <v>31</v>
      </c>
      <c r="K99" s="7" t="s">
        <v>225</v>
      </c>
      <c r="L99" s="7">
        <v>1</v>
      </c>
      <c r="M99" s="8">
        <v>2.5</v>
      </c>
      <c r="N99" s="7">
        <v>1000</v>
      </c>
      <c r="O99" s="8">
        <f t="shared" si="7"/>
        <v>2.5</v>
      </c>
      <c r="P99" s="7" t="s">
        <v>218</v>
      </c>
      <c r="Q99" s="7" t="s">
        <v>98</v>
      </c>
      <c r="R99" s="7" t="s">
        <v>35</v>
      </c>
      <c r="S99" s="7" t="s">
        <v>220</v>
      </c>
      <c r="T99" s="7"/>
      <c r="U99" s="7" t="s">
        <v>37</v>
      </c>
      <c r="V99" s="4" t="s">
        <v>77</v>
      </c>
      <c r="W99" s="7" t="s">
        <v>221</v>
      </c>
    </row>
    <row r="100" spans="1:23" ht="39.75" customHeight="1" x14ac:dyDescent="0.35">
      <c r="A100" s="2" t="s">
        <v>216</v>
      </c>
      <c r="B100" s="2" t="s">
        <v>205</v>
      </c>
      <c r="C100" s="2">
        <v>2</v>
      </c>
      <c r="D100" s="2">
        <v>5</v>
      </c>
      <c r="E100" s="2" t="s">
        <v>69</v>
      </c>
      <c r="F100" s="2" t="s">
        <v>61</v>
      </c>
      <c r="G100" s="2" t="s">
        <v>28</v>
      </c>
      <c r="H100" s="2" t="s">
        <v>29</v>
      </c>
      <c r="I100" s="2"/>
      <c r="J100" s="2" t="s">
        <v>31</v>
      </c>
      <c r="K100" s="2" t="s">
        <v>226</v>
      </c>
      <c r="L100" s="2">
        <v>3</v>
      </c>
      <c r="M100" s="3">
        <v>2.5</v>
      </c>
      <c r="N100" s="2">
        <v>1000</v>
      </c>
      <c r="O100" s="3">
        <f t="shared" si="7"/>
        <v>2.5</v>
      </c>
      <c r="P100" s="2" t="s">
        <v>218</v>
      </c>
      <c r="Q100" s="2" t="s">
        <v>98</v>
      </c>
      <c r="R100" s="2" t="s">
        <v>35</v>
      </c>
      <c r="S100" s="2" t="s">
        <v>227</v>
      </c>
      <c r="T100" s="2"/>
      <c r="U100" s="2" t="s">
        <v>37</v>
      </c>
      <c r="V100" s="4" t="s">
        <v>77</v>
      </c>
      <c r="W100" s="2" t="s">
        <v>221</v>
      </c>
    </row>
    <row r="101" spans="1:23" ht="39.75" customHeight="1" x14ac:dyDescent="0.35">
      <c r="A101" s="7" t="s">
        <v>216</v>
      </c>
      <c r="B101" s="7" t="s">
        <v>205</v>
      </c>
      <c r="C101" s="7">
        <v>2</v>
      </c>
      <c r="D101" s="7">
        <v>5</v>
      </c>
      <c r="E101" s="7" t="s">
        <v>69</v>
      </c>
      <c r="F101" s="7" t="s">
        <v>61</v>
      </c>
      <c r="G101" s="7" t="s">
        <v>28</v>
      </c>
      <c r="H101" s="7" t="s">
        <v>29</v>
      </c>
      <c r="I101" s="7"/>
      <c r="J101" s="7" t="s">
        <v>31</v>
      </c>
      <c r="K101" s="7" t="s">
        <v>228</v>
      </c>
      <c r="L101" s="7">
        <v>2</v>
      </c>
      <c r="M101" s="8">
        <v>2.5</v>
      </c>
      <c r="N101" s="7">
        <v>1000</v>
      </c>
      <c r="O101" s="8">
        <f t="shared" si="7"/>
        <v>2.5</v>
      </c>
      <c r="P101" s="7" t="s">
        <v>218</v>
      </c>
      <c r="Q101" s="7" t="s">
        <v>98</v>
      </c>
      <c r="R101" s="7" t="s">
        <v>35</v>
      </c>
      <c r="S101" s="7" t="s">
        <v>220</v>
      </c>
      <c r="T101" s="7"/>
      <c r="U101" s="7" t="s">
        <v>37</v>
      </c>
      <c r="V101" s="4" t="s">
        <v>77</v>
      </c>
      <c r="W101" s="7" t="s">
        <v>221</v>
      </c>
    </row>
    <row r="102" spans="1:23" ht="39.75" customHeight="1" x14ac:dyDescent="0.35">
      <c r="A102" s="2" t="s">
        <v>216</v>
      </c>
      <c r="B102" s="2" t="s">
        <v>205</v>
      </c>
      <c r="C102" s="2">
        <v>2</v>
      </c>
      <c r="D102" s="2">
        <v>5</v>
      </c>
      <c r="E102" s="2" t="s">
        <v>69</v>
      </c>
      <c r="F102" s="2" t="s">
        <v>61</v>
      </c>
      <c r="G102" s="2" t="s">
        <v>28</v>
      </c>
      <c r="H102" s="2" t="s">
        <v>29</v>
      </c>
      <c r="I102" s="2"/>
      <c r="J102" s="2" t="s">
        <v>31</v>
      </c>
      <c r="K102" s="2" t="s">
        <v>229</v>
      </c>
      <c r="L102" s="2">
        <v>2</v>
      </c>
      <c r="M102" s="3">
        <v>2.5</v>
      </c>
      <c r="N102" s="2">
        <v>1000</v>
      </c>
      <c r="O102" s="3">
        <f t="shared" si="7"/>
        <v>2.5</v>
      </c>
      <c r="P102" s="2" t="s">
        <v>218</v>
      </c>
      <c r="Q102" s="2" t="s">
        <v>98</v>
      </c>
      <c r="R102" s="2" t="s">
        <v>35</v>
      </c>
      <c r="S102" s="2" t="s">
        <v>230</v>
      </c>
      <c r="T102" s="2"/>
      <c r="U102" s="2" t="s">
        <v>37</v>
      </c>
      <c r="V102" s="4" t="s">
        <v>77</v>
      </c>
      <c r="W102" s="2" t="s">
        <v>221</v>
      </c>
    </row>
    <row r="104" spans="1:23" ht="21.75" customHeight="1" x14ac:dyDescent="0.35">
      <c r="A104" s="11" t="s">
        <v>231</v>
      </c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</row>
    <row r="105" spans="1:23" ht="30" customHeight="1" x14ac:dyDescent="0.35">
      <c r="A105" s="1" t="s">
        <v>1</v>
      </c>
      <c r="B105" s="1" t="s">
        <v>2</v>
      </c>
      <c r="C105" s="1" t="s">
        <v>3</v>
      </c>
      <c r="D105" s="1" t="s">
        <v>4</v>
      </c>
      <c r="E105" s="1" t="s">
        <v>5</v>
      </c>
      <c r="F105" s="1" t="s">
        <v>6</v>
      </c>
      <c r="G105" s="1" t="s">
        <v>7</v>
      </c>
      <c r="H105" s="1" t="s">
        <v>8</v>
      </c>
      <c r="I105" s="1" t="s">
        <v>9</v>
      </c>
      <c r="J105" s="1" t="s">
        <v>10</v>
      </c>
      <c r="K105" s="1" t="s">
        <v>11</v>
      </c>
      <c r="L105" s="1" t="s">
        <v>12</v>
      </c>
      <c r="M105" s="1" t="s">
        <v>13</v>
      </c>
      <c r="N105" s="1" t="s">
        <v>14</v>
      </c>
      <c r="O105" s="1" t="s">
        <v>15</v>
      </c>
      <c r="P105" s="1" t="s">
        <v>16</v>
      </c>
      <c r="Q105" s="1" t="s">
        <v>17</v>
      </c>
      <c r="R105" s="1" t="s">
        <v>18</v>
      </c>
      <c r="S105" s="1" t="s">
        <v>19</v>
      </c>
      <c r="T105" s="1" t="s">
        <v>20</v>
      </c>
      <c r="U105" s="1" t="s">
        <v>21</v>
      </c>
      <c r="V105" s="1" t="s">
        <v>22</v>
      </c>
      <c r="W105" s="1" t="s">
        <v>23</v>
      </c>
    </row>
    <row r="106" spans="1:23" ht="39.75" customHeight="1" x14ac:dyDescent="0.35">
      <c r="A106" s="2" t="s">
        <v>232</v>
      </c>
      <c r="B106" s="2" t="s">
        <v>205</v>
      </c>
      <c r="C106" s="2">
        <v>2</v>
      </c>
      <c r="D106" s="2">
        <v>5</v>
      </c>
      <c r="E106" s="2" t="s">
        <v>116</v>
      </c>
      <c r="F106" s="2" t="s">
        <v>61</v>
      </c>
      <c r="G106" s="2" t="s">
        <v>62</v>
      </c>
      <c r="H106" s="2" t="s">
        <v>29</v>
      </c>
      <c r="I106" s="2"/>
      <c r="J106" s="2" t="s">
        <v>31</v>
      </c>
      <c r="K106" s="2" t="s">
        <v>233</v>
      </c>
      <c r="L106" s="2">
        <v>2</v>
      </c>
      <c r="M106" s="3">
        <v>2.5</v>
      </c>
      <c r="N106" s="2">
        <v>1000</v>
      </c>
      <c r="O106" s="3">
        <f>IF(OR(M106="",N106="",N106=0),"",M106/(N106/1000))</f>
        <v>2.5</v>
      </c>
      <c r="P106" s="2" t="s">
        <v>218</v>
      </c>
      <c r="Q106" s="2" t="s">
        <v>98</v>
      </c>
      <c r="R106" s="2" t="s">
        <v>245</v>
      </c>
      <c r="S106" s="2" t="s">
        <v>220</v>
      </c>
      <c r="T106" s="2"/>
      <c r="U106" s="2" t="s">
        <v>37</v>
      </c>
      <c r="V106" s="4" t="s">
        <v>77</v>
      </c>
      <c r="W106" s="2" t="s">
        <v>221</v>
      </c>
    </row>
    <row r="107" spans="1:23" ht="39.75" customHeight="1" x14ac:dyDescent="0.35">
      <c r="A107" s="7" t="s">
        <v>232</v>
      </c>
      <c r="B107" s="7" t="s">
        <v>205</v>
      </c>
      <c r="C107" s="7">
        <v>2</v>
      </c>
      <c r="D107" s="7">
        <v>5</v>
      </c>
      <c r="E107" s="7" t="s">
        <v>116</v>
      </c>
      <c r="F107" s="7" t="s">
        <v>61</v>
      </c>
      <c r="G107" s="7" t="s">
        <v>62</v>
      </c>
      <c r="H107" s="7" t="s">
        <v>29</v>
      </c>
      <c r="I107" s="7"/>
      <c r="J107" s="7" t="s">
        <v>31</v>
      </c>
      <c r="K107" s="7" t="s">
        <v>234</v>
      </c>
      <c r="L107" s="7">
        <v>2</v>
      </c>
      <c r="M107" s="8">
        <v>2.4</v>
      </c>
      <c r="N107" s="7">
        <v>1000</v>
      </c>
      <c r="O107" s="8">
        <f>IF(OR(M107="",N107="",N107=0),"",M107/(N107/1000))</f>
        <v>2.4</v>
      </c>
      <c r="P107" s="7" t="s">
        <v>218</v>
      </c>
      <c r="Q107" s="7" t="s">
        <v>274</v>
      </c>
      <c r="R107" s="7" t="s">
        <v>245</v>
      </c>
      <c r="S107" s="7" t="s">
        <v>235</v>
      </c>
      <c r="T107" s="7"/>
      <c r="U107" s="7" t="s">
        <v>37</v>
      </c>
      <c r="V107" s="4" t="s">
        <v>77</v>
      </c>
      <c r="W107" s="7" t="s">
        <v>236</v>
      </c>
    </row>
    <row r="108" spans="1:23" ht="39.75" customHeight="1" x14ac:dyDescent="0.35">
      <c r="A108" s="2" t="s">
        <v>232</v>
      </c>
      <c r="B108" s="2" t="s">
        <v>205</v>
      </c>
      <c r="C108" s="2">
        <v>2</v>
      </c>
      <c r="D108" s="2">
        <v>5</v>
      </c>
      <c r="E108" s="2" t="s">
        <v>116</v>
      </c>
      <c r="F108" s="2" t="s">
        <v>61</v>
      </c>
      <c r="G108" s="2" t="s">
        <v>62</v>
      </c>
      <c r="H108" s="2" t="s">
        <v>29</v>
      </c>
      <c r="I108" s="2"/>
      <c r="J108" s="2" t="s">
        <v>31</v>
      </c>
      <c r="K108" s="2" t="s">
        <v>237</v>
      </c>
      <c r="L108" s="2">
        <v>3</v>
      </c>
      <c r="M108" s="3">
        <v>3.7</v>
      </c>
      <c r="N108" s="2">
        <v>1750</v>
      </c>
      <c r="O108" s="3">
        <f>IF(OR(M108="",N108="",N108=0),"",M108/(N108/1000))</f>
        <v>2.1142857142857143</v>
      </c>
      <c r="P108" s="2" t="s">
        <v>218</v>
      </c>
      <c r="Q108" s="2" t="s">
        <v>275</v>
      </c>
      <c r="R108" s="2" t="s">
        <v>245</v>
      </c>
      <c r="S108" s="2" t="s">
        <v>238</v>
      </c>
      <c r="T108" s="2" t="s">
        <v>239</v>
      </c>
      <c r="U108" s="2" t="s">
        <v>37</v>
      </c>
      <c r="V108" s="4" t="s">
        <v>77</v>
      </c>
      <c r="W108" s="2" t="s">
        <v>240</v>
      </c>
    </row>
    <row r="110" spans="1:23" ht="21.75" hidden="1" customHeight="1" outlineLevel="1" x14ac:dyDescent="0.35">
      <c r="A110" s="11" t="s">
        <v>241</v>
      </c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</row>
    <row r="111" spans="1:23" ht="30" hidden="1" customHeight="1" outlineLevel="1" x14ac:dyDescent="0.35">
      <c r="A111" s="1" t="s">
        <v>1</v>
      </c>
      <c r="B111" s="1" t="s">
        <v>2</v>
      </c>
      <c r="C111" s="1" t="s">
        <v>3</v>
      </c>
      <c r="D111" s="1" t="s">
        <v>4</v>
      </c>
      <c r="E111" s="1" t="s">
        <v>5</v>
      </c>
      <c r="F111" s="1" t="s">
        <v>6</v>
      </c>
      <c r="G111" s="1" t="s">
        <v>7</v>
      </c>
      <c r="H111" s="1" t="s">
        <v>8</v>
      </c>
      <c r="I111" s="1" t="s">
        <v>9</v>
      </c>
      <c r="J111" s="1" t="s">
        <v>10</v>
      </c>
      <c r="K111" s="1" t="s">
        <v>11</v>
      </c>
      <c r="L111" s="1" t="s">
        <v>12</v>
      </c>
      <c r="M111" s="1" t="s">
        <v>13</v>
      </c>
      <c r="N111" s="1" t="s">
        <v>14</v>
      </c>
      <c r="O111" s="1" t="s">
        <v>15</v>
      </c>
      <c r="P111" s="1" t="s">
        <v>16</v>
      </c>
      <c r="Q111" s="1" t="s">
        <v>17</v>
      </c>
      <c r="R111" s="1" t="s">
        <v>18</v>
      </c>
      <c r="S111" s="1" t="s">
        <v>19</v>
      </c>
      <c r="T111" s="1" t="s">
        <v>20</v>
      </c>
      <c r="U111" s="1" t="s">
        <v>21</v>
      </c>
      <c r="V111" s="1" t="s">
        <v>22</v>
      </c>
      <c r="W111" s="1" t="s">
        <v>23</v>
      </c>
    </row>
    <row r="112" spans="1:23" ht="39.75" hidden="1" customHeight="1" outlineLevel="1" x14ac:dyDescent="0.35">
      <c r="A112" s="2" t="s">
        <v>242</v>
      </c>
      <c r="B112" s="2" t="s">
        <v>205</v>
      </c>
      <c r="C112" s="2">
        <v>2</v>
      </c>
      <c r="D112" s="2">
        <v>5</v>
      </c>
      <c r="E112" s="2" t="s">
        <v>26</v>
      </c>
      <c r="F112" s="2" t="s">
        <v>70</v>
      </c>
      <c r="G112" s="2" t="s">
        <v>62</v>
      </c>
      <c r="H112" s="2" t="s">
        <v>29</v>
      </c>
      <c r="I112" s="2" t="s">
        <v>243</v>
      </c>
      <c r="J112" s="2" t="s">
        <v>31</v>
      </c>
      <c r="K112" s="2" t="s">
        <v>244</v>
      </c>
      <c r="L112" s="2">
        <v>2</v>
      </c>
      <c r="M112" s="3">
        <v>1.25</v>
      </c>
      <c r="N112" s="2">
        <v>1000</v>
      </c>
      <c r="O112" s="3">
        <f>IF(OR(M112="",N112="",N112=0),"",M112/(N112/1000))</f>
        <v>1.25</v>
      </c>
      <c r="P112" s="2" t="s">
        <v>33</v>
      </c>
      <c r="Q112" s="2" t="s">
        <v>245</v>
      </c>
      <c r="R112" s="2" t="s">
        <v>35</v>
      </c>
      <c r="S112" s="2" t="s">
        <v>243</v>
      </c>
      <c r="T112" s="2"/>
      <c r="U112" s="2" t="s">
        <v>37</v>
      </c>
      <c r="V112" s="9" t="s">
        <v>156</v>
      </c>
      <c r="W112" s="2" t="s">
        <v>246</v>
      </c>
    </row>
    <row r="113" spans="1:23" ht="39.75" hidden="1" customHeight="1" outlineLevel="1" x14ac:dyDescent="0.35">
      <c r="A113" s="7" t="s">
        <v>242</v>
      </c>
      <c r="B113" s="7" t="s">
        <v>205</v>
      </c>
      <c r="C113" s="7">
        <v>2</v>
      </c>
      <c r="D113" s="7">
        <v>5</v>
      </c>
      <c r="E113" s="7" t="s">
        <v>54</v>
      </c>
      <c r="F113" s="7" t="s">
        <v>70</v>
      </c>
      <c r="G113" s="7" t="s">
        <v>62</v>
      </c>
      <c r="H113" s="7" t="s">
        <v>29</v>
      </c>
      <c r="I113" s="7" t="s">
        <v>243</v>
      </c>
      <c r="J113" s="7" t="s">
        <v>31</v>
      </c>
      <c r="K113" s="7" t="s">
        <v>247</v>
      </c>
      <c r="L113" s="7">
        <v>2</v>
      </c>
      <c r="M113" s="8">
        <v>2.1</v>
      </c>
      <c r="N113" s="7">
        <v>1000</v>
      </c>
      <c r="O113" s="8">
        <f>IF(OR(M113="",N113="",N113=0),"",M113/(N113/1000))</f>
        <v>2.1</v>
      </c>
      <c r="P113" s="7" t="s">
        <v>33</v>
      </c>
      <c r="Q113" s="7" t="s">
        <v>245</v>
      </c>
      <c r="R113" s="7" t="s">
        <v>35</v>
      </c>
      <c r="S113" s="7" t="s">
        <v>243</v>
      </c>
      <c r="T113" s="7"/>
      <c r="U113" s="7" t="s">
        <v>37</v>
      </c>
      <c r="V113" s="9" t="s">
        <v>156</v>
      </c>
      <c r="W113" s="7" t="s">
        <v>248</v>
      </c>
    </row>
    <row r="114" spans="1:23" ht="39.75" hidden="1" customHeight="1" outlineLevel="1" x14ac:dyDescent="0.35">
      <c r="A114" s="2" t="s">
        <v>242</v>
      </c>
      <c r="B114" s="2" t="s">
        <v>205</v>
      </c>
      <c r="C114" s="2">
        <v>2</v>
      </c>
      <c r="D114" s="2">
        <v>5</v>
      </c>
      <c r="E114" s="2" t="s">
        <v>116</v>
      </c>
      <c r="F114" s="2" t="s">
        <v>61</v>
      </c>
      <c r="G114" s="2" t="s">
        <v>62</v>
      </c>
      <c r="H114" s="2" t="s">
        <v>29</v>
      </c>
      <c r="I114" s="2"/>
      <c r="J114" s="2" t="s">
        <v>31</v>
      </c>
      <c r="K114" s="2" t="s">
        <v>249</v>
      </c>
      <c r="L114" s="2">
        <v>1</v>
      </c>
      <c r="M114" s="3">
        <v>2.2000000000000002</v>
      </c>
      <c r="N114" s="2">
        <v>1000</v>
      </c>
      <c r="O114" s="3">
        <f>IF(OR(M114="",N114="",N114=0),"",M114/(N114/1000))</f>
        <v>2.2000000000000002</v>
      </c>
      <c r="P114" s="2" t="s">
        <v>33</v>
      </c>
      <c r="Q114" s="2" t="s">
        <v>250</v>
      </c>
      <c r="R114" s="2" t="s">
        <v>35</v>
      </c>
      <c r="S114" s="2" t="s">
        <v>250</v>
      </c>
      <c r="T114" s="2"/>
      <c r="U114" s="2" t="s">
        <v>37</v>
      </c>
      <c r="V114" s="9" t="s">
        <v>156</v>
      </c>
      <c r="W114" s="2" t="s">
        <v>251</v>
      </c>
    </row>
    <row r="115" spans="1:23" collapsed="1" x14ac:dyDescent="0.35"/>
  </sheetData>
  <mergeCells count="13">
    <mergeCell ref="A1:W1"/>
    <mergeCell ref="A8:W8"/>
    <mergeCell ref="A18:W18"/>
    <mergeCell ref="A28:W28"/>
    <mergeCell ref="A42:W42"/>
    <mergeCell ref="A94:W94"/>
    <mergeCell ref="A104:W104"/>
    <mergeCell ref="A110:W110"/>
    <mergeCell ref="A52:W52"/>
    <mergeCell ref="A61:W61"/>
    <mergeCell ref="A67:W67"/>
    <mergeCell ref="A76:W76"/>
    <mergeCell ref="A87:W87"/>
  </mergeCells>
  <phoneticPr fontId="4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SKU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Fee Dorpmans</cp:lastModifiedBy>
  <cp:revision>0</cp:revision>
  <dcterms:created xsi:type="dcterms:W3CDTF">2026-02-10T16:09:03Z</dcterms:created>
  <dcterms:modified xsi:type="dcterms:W3CDTF">2026-02-12T17:21:38Z</dcterms:modified>
  <cp:category/>
  <cp:contentStatus/>
</cp:coreProperties>
</file>